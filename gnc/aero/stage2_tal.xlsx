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suraihi\Desktop\rajeh2_mot500_w12_c24_lmup60_lmdwn60_sw90\stage2\"/>
    </mc:Choice>
  </mc:AlternateContent>
  <xr:revisionPtr revIDLastSave="0" documentId="13_ncr:1_{A4E3EC45-2820-4853-86F3-1F182F7687F8}" xr6:coauthVersionLast="47" xr6:coauthVersionMax="47" xr10:uidLastSave="{00000000-0000-0000-0000-000000000000}"/>
  <bookViews>
    <workbookView xWindow="-108" yWindow="-108" windowWidth="23256" windowHeight="12576" xr2:uid="{14F66043-D882-45A4-9D42-4D9D5DD4A06A}"/>
  </bookViews>
  <sheets>
    <sheet name="stage2" sheetId="1" r:id="rId1"/>
    <sheet name="stage2_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H26" i="1"/>
  <c r="I26" i="1"/>
  <c r="K26" i="1"/>
  <c r="L26" i="1"/>
  <c r="C27" i="1"/>
  <c r="D27" i="1"/>
  <c r="E27" i="1"/>
  <c r="F27" i="1"/>
  <c r="H27" i="1"/>
  <c r="I27" i="1"/>
  <c r="K27" i="1"/>
  <c r="L27" i="1"/>
  <c r="C28" i="1"/>
  <c r="D28" i="1"/>
  <c r="E28" i="1"/>
  <c r="F28" i="1"/>
  <c r="H28" i="1"/>
  <c r="I28" i="1"/>
  <c r="K28" i="1"/>
  <c r="L28" i="1"/>
  <c r="C29" i="1"/>
  <c r="D29" i="1"/>
  <c r="E29" i="1"/>
  <c r="F29" i="1"/>
  <c r="H29" i="1"/>
  <c r="I29" i="1"/>
  <c r="K29" i="1"/>
  <c r="L29" i="1"/>
  <c r="C30" i="1"/>
  <c r="D30" i="1"/>
  <c r="E30" i="1"/>
  <c r="F30" i="1"/>
  <c r="H30" i="1"/>
  <c r="I30" i="1"/>
  <c r="K30" i="1"/>
  <c r="L30" i="1"/>
  <c r="C31" i="1"/>
  <c r="D31" i="1"/>
  <c r="E31" i="1"/>
  <c r="F31" i="1"/>
  <c r="H31" i="1"/>
  <c r="I31" i="1"/>
  <c r="K31" i="1"/>
  <c r="L31" i="1"/>
  <c r="B26" i="1"/>
  <c r="B27" i="1"/>
  <c r="B28" i="1"/>
  <c r="B29" i="1"/>
  <c r="B30" i="1"/>
  <c r="B31" i="1"/>
  <c r="A2" i="2"/>
</calcChain>
</file>

<file path=xl/sharedStrings.xml><?xml version="1.0" encoding="utf-8"?>
<sst xmlns="http://schemas.openxmlformats.org/spreadsheetml/2006/main" count="720" uniqueCount="57">
  <si>
    <t>stag1</t>
  </si>
  <si>
    <t>Xcg_full</t>
  </si>
  <si>
    <t>Xcg_Empty</t>
  </si>
  <si>
    <t>Aero cg</t>
  </si>
  <si>
    <t>Lref</t>
  </si>
  <si>
    <t>Aref</t>
  </si>
  <si>
    <t>xbc0</t>
  </si>
  <si>
    <t>xbc_err</t>
  </si>
  <si>
    <t>mach</t>
  </si>
  <si>
    <t>alfa</t>
  </si>
  <si>
    <t>deflection</t>
  </si>
  <si>
    <t>Cm alfa</t>
  </si>
  <si>
    <t>Cn alfa</t>
  </si>
  <si>
    <t>SM</t>
  </si>
  <si>
    <t>Cll_5</t>
  </si>
  <si>
    <t>Cll_10</t>
  </si>
  <si>
    <t>Cll_15</t>
  </si>
  <si>
    <t>CMQ</t>
  </si>
  <si>
    <t>CNQ</t>
  </si>
  <si>
    <t>CMD</t>
  </si>
  <si>
    <t>CND</t>
  </si>
  <si>
    <t>S_ref</t>
  </si>
  <si>
    <t>L_ref</t>
  </si>
  <si>
    <t>def_roll_5</t>
  </si>
  <si>
    <t>def_roll_10</t>
  </si>
  <si>
    <t>def_roll_15</t>
  </si>
  <si>
    <t>def_pitch_up</t>
  </si>
  <si>
    <t>CLLP</t>
  </si>
  <si>
    <t>Dexit</t>
  </si>
  <si>
    <t>CA_OF</t>
  </si>
  <si>
    <t>CAD_OF</t>
  </si>
  <si>
    <t>cm2</t>
  </si>
  <si>
    <t>cn2</t>
  </si>
  <si>
    <t>Ca2</t>
  </si>
  <si>
    <t>Cd2</t>
  </si>
  <si>
    <t>Cl2</t>
  </si>
  <si>
    <t>Cll2</t>
  </si>
  <si>
    <t>XCPn2</t>
  </si>
  <si>
    <t>Cg_Aero2</t>
  </si>
  <si>
    <t>Mach2</t>
  </si>
  <si>
    <t>Alpha2</t>
  </si>
  <si>
    <t>q2</t>
  </si>
  <si>
    <t>density2</t>
  </si>
  <si>
    <t>Re2</t>
  </si>
  <si>
    <t>Ca2on</t>
  </si>
  <si>
    <t>HING_MOM_C1 (N.m)</t>
  </si>
  <si>
    <t>BENDING_MOM_C1 (N.m)</t>
  </si>
  <si>
    <t>Cg_c1_from back_canrd</t>
  </si>
  <si>
    <t>Force_x_canard1(N)</t>
  </si>
  <si>
    <t>xcph</t>
  </si>
  <si>
    <t>xcp</t>
  </si>
  <si>
    <t>C hing</t>
  </si>
  <si>
    <t>C bending</t>
  </si>
  <si>
    <t>CH_A</t>
  </si>
  <si>
    <t>CB_A</t>
  </si>
  <si>
    <t>CH_D</t>
  </si>
  <si>
    <t>CB_D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</si>
</sst>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0">
    <xf numFmtId="0" fontId="0" fillId="0" borderId="0" xfId="0"/>
    <xf numFmtId="0" fontId="3" fillId="3" borderId="1" xfId="2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" fillId="3" borderId="1" xfId="2" applyNumberFormat="1" applyFont="1" applyAlignment="1">
      <alignment horizontal="center" vertical="center" wrapText="1"/>
    </xf>
    <xf numFmtId="0" fontId="2" fillId="6" borderId="1" xfId="2" applyNumberFormat="1" applyFill="1" applyAlignment="1">
      <alignment horizontal="center" vertical="center" wrapText="1"/>
    </xf>
    <xf numFmtId="0" fontId="2" fillId="3" borderId="1" xfId="2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7" fillId="4" borderId="0" xfId="0" applyNumberFormat="1" applyFont="1" applyFill="1" applyAlignment="1">
      <alignment horizontal="center" vertical="center" wrapText="1"/>
    </xf>
    <xf numFmtId="0" fontId="7" fillId="5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1" fontId="0" fillId="5" borderId="0" xfId="0" applyNumberFormat="1" applyFill="1"/>
    <xf numFmtId="11" fontId="6" fillId="0" borderId="0" xfId="0" applyNumberFormat="1" applyFont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2" fillId="6" borderId="1" xfId="2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3">
    <cellStyle name="إخراج" xfId="2" builtinId="21"/>
    <cellStyle name="سيئ" xfId="1" builtinId="27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EA31-2FBE-4BC9-B26D-53430321C80C}">
  <dimension ref="A1:AA144"/>
  <sheetViews>
    <sheetView tabSelected="1" topLeftCell="A136" zoomScaleNormal="100" workbookViewId="0">
      <selection activeCell="I152" sqref="I152"/>
    </sheetView>
  </sheetViews>
  <sheetFormatPr defaultRowHeight="14.4" x14ac:dyDescent="0.3"/>
  <cols>
    <col min="1" max="1" width="14.21875" style="11" customWidth="1"/>
    <col min="2" max="2" width="17.33203125" style="11" customWidth="1"/>
    <col min="3" max="8" width="11.77734375" style="11" customWidth="1"/>
    <col min="9" max="10" width="14.6640625" style="11" customWidth="1"/>
    <col min="11" max="11" width="14.21875" style="11" customWidth="1"/>
    <col min="12" max="12" width="10.44140625" style="5" bestFit="1" customWidth="1"/>
    <col min="13" max="13" width="8.88671875" style="6"/>
    <col min="15" max="15" width="13.33203125" customWidth="1"/>
    <col min="16" max="16" width="13.88671875" customWidth="1"/>
  </cols>
  <sheetData>
    <row r="1" spans="1: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5" x14ac:dyDescent="0.3">
      <c r="A2" s="13" t="s">
        <v>1</v>
      </c>
      <c r="B2" s="13" t="s">
        <v>2</v>
      </c>
      <c r="C2" s="13" t="s">
        <v>3</v>
      </c>
      <c r="D2" s="13"/>
      <c r="E2" s="13" t="s">
        <v>4</v>
      </c>
      <c r="F2" s="13" t="s">
        <v>5</v>
      </c>
      <c r="G2" s="13"/>
      <c r="H2" s="13" t="s">
        <v>6</v>
      </c>
      <c r="I2" s="13" t="s">
        <v>7</v>
      </c>
      <c r="J2" s="13"/>
      <c r="K2" s="13"/>
      <c r="L2" s="13"/>
      <c r="M2" s="1" t="s">
        <v>28</v>
      </c>
    </row>
    <row r="3" spans="1:25" x14ac:dyDescent="0.3">
      <c r="A3" s="13"/>
      <c r="B3" s="13"/>
      <c r="C3" s="13">
        <v>1.026</v>
      </c>
      <c r="D3" s="13"/>
      <c r="E3" s="13">
        <v>0.39700000000000002</v>
      </c>
      <c r="F3" s="13">
        <v>0.123723</v>
      </c>
      <c r="G3" s="13"/>
      <c r="H3" s="13"/>
      <c r="I3" s="13"/>
      <c r="J3" s="13"/>
      <c r="K3" s="13"/>
      <c r="L3" s="13"/>
      <c r="M3" s="1"/>
    </row>
    <row r="4" spans="1:25" x14ac:dyDescent="0.3">
      <c r="A4" s="13" t="s">
        <v>8</v>
      </c>
      <c r="B4" s="13">
        <v>0.3</v>
      </c>
      <c r="C4" s="13">
        <v>0.5</v>
      </c>
      <c r="D4" s="13">
        <v>0.8</v>
      </c>
      <c r="E4" s="13">
        <v>1.2</v>
      </c>
      <c r="F4" s="13">
        <v>2</v>
      </c>
      <c r="G4" s="13"/>
      <c r="H4" s="13">
        <v>4</v>
      </c>
      <c r="I4" s="13">
        <v>6</v>
      </c>
      <c r="J4" s="13"/>
      <c r="K4" s="13">
        <v>8</v>
      </c>
      <c r="L4" s="13">
        <v>10</v>
      </c>
      <c r="M4" s="1"/>
    </row>
    <row r="5" spans="1:25" x14ac:dyDescent="0.3">
      <c r="A5" s="13" t="s">
        <v>9</v>
      </c>
      <c r="B5" s="13">
        <v>0</v>
      </c>
      <c r="C5" s="13">
        <v>2</v>
      </c>
      <c r="D5" s="13">
        <v>4</v>
      </c>
      <c r="E5" s="13">
        <v>8</v>
      </c>
      <c r="F5" s="13">
        <v>12</v>
      </c>
      <c r="G5" s="13"/>
      <c r="H5" s="13">
        <v>16</v>
      </c>
      <c r="I5" s="13">
        <v>20</v>
      </c>
      <c r="J5" s="13"/>
      <c r="K5" s="13"/>
      <c r="L5" s="13"/>
      <c r="M5" s="1"/>
    </row>
    <row r="6" spans="1:25" x14ac:dyDescent="0.3">
      <c r="A6" s="13" t="s">
        <v>10</v>
      </c>
      <c r="B6" s="13">
        <v>0</v>
      </c>
      <c r="C6" s="13">
        <v>2</v>
      </c>
      <c r="D6" s="13">
        <v>4</v>
      </c>
      <c r="E6" s="13">
        <v>8</v>
      </c>
      <c r="F6" s="13">
        <v>12</v>
      </c>
      <c r="G6" s="13"/>
      <c r="H6" s="13">
        <v>16</v>
      </c>
      <c r="I6" s="13">
        <v>20</v>
      </c>
      <c r="J6" s="13"/>
      <c r="K6" s="13"/>
      <c r="L6" s="13"/>
      <c r="M6" s="1"/>
    </row>
    <row r="7" spans="1:25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"/>
    </row>
    <row r="8" spans="1:25" x14ac:dyDescent="0.3">
      <c r="A8" s="14" t="s">
        <v>11</v>
      </c>
      <c r="B8" s="14">
        <v>0.3</v>
      </c>
      <c r="C8" s="14">
        <v>0.5</v>
      </c>
      <c r="D8" s="14">
        <v>0.8</v>
      </c>
      <c r="E8" s="14">
        <v>1.2</v>
      </c>
      <c r="F8" s="14">
        <v>2</v>
      </c>
      <c r="G8" s="14">
        <v>3</v>
      </c>
      <c r="H8" s="14">
        <v>4</v>
      </c>
      <c r="I8" s="14">
        <v>6</v>
      </c>
      <c r="J8" s="28">
        <v>7</v>
      </c>
      <c r="K8" s="14">
        <v>8</v>
      </c>
      <c r="L8" s="14">
        <v>10</v>
      </c>
    </row>
    <row r="9" spans="1:25" x14ac:dyDescent="0.3">
      <c r="A9" s="1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N9" s="10"/>
      <c r="O9" s="10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15">
        <v>2</v>
      </c>
      <c r="B10" s="11">
        <v>-3.3500000000000002E-2</v>
      </c>
      <c r="C10" s="11">
        <v>-3.9100000000000003E-2</v>
      </c>
      <c r="D10" s="11">
        <v>-5.9900000000000002E-2</v>
      </c>
      <c r="E10" s="11">
        <v>-5.7799999999999997E-2</v>
      </c>
      <c r="F10" s="11">
        <v>-2.7799999999999998E-2</v>
      </c>
      <c r="G10" s="5">
        <v>-1.602801302931596E-2</v>
      </c>
      <c r="H10" s="11">
        <v>-1.26E-2</v>
      </c>
      <c r="I10" s="11">
        <v>-1.47E-2</v>
      </c>
      <c r="J10" s="5">
        <v>-1.6E-2</v>
      </c>
      <c r="K10" s="11">
        <v>-1.7299999999999999E-2</v>
      </c>
      <c r="L10" s="11">
        <v>-1.38E-2</v>
      </c>
      <c r="N10" s="10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">
      <c r="A11" s="15">
        <v>4</v>
      </c>
      <c r="B11" s="11">
        <v>-7.0599999999999996E-2</v>
      </c>
      <c r="C11" s="11">
        <v>-8.0399999999999999E-2</v>
      </c>
      <c r="D11" s="11">
        <v>-0.1226</v>
      </c>
      <c r="E11" s="11">
        <v>-0.1193</v>
      </c>
      <c r="F11" s="11">
        <v>-5.6399999999999999E-2</v>
      </c>
      <c r="G11" s="5">
        <v>-3.1810696920583463E-2</v>
      </c>
      <c r="H11" s="11">
        <v>-2.4500000000000001E-2</v>
      </c>
      <c r="I11" s="11">
        <v>-2.7099999999999999E-2</v>
      </c>
      <c r="J11" s="5">
        <v>-2.835E-2</v>
      </c>
      <c r="K11" s="11">
        <v>-2.9600000000000001E-2</v>
      </c>
      <c r="L11" s="11">
        <v>-2.6499999999999999E-2</v>
      </c>
      <c r="N11" s="10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3">
      <c r="A12" s="15">
        <v>8</v>
      </c>
      <c r="B12" s="11">
        <v>-0.14940000000000001</v>
      </c>
      <c r="C12" s="11">
        <v>-0.1668</v>
      </c>
      <c r="D12" s="11">
        <v>-0.25430000000000003</v>
      </c>
      <c r="E12" s="11">
        <v>-0.24099999999999999</v>
      </c>
      <c r="F12" s="11">
        <v>-0.1104</v>
      </c>
      <c r="G12" s="5">
        <v>-6.3176878612716758E-2</v>
      </c>
      <c r="H12" s="11">
        <v>-4.8399999999999999E-2</v>
      </c>
      <c r="I12" s="11">
        <v>-4.7E-2</v>
      </c>
      <c r="J12" s="5">
        <v>-4.4899999999999995E-2</v>
      </c>
      <c r="K12" s="11">
        <v>-4.2799999999999998E-2</v>
      </c>
      <c r="L12" s="11">
        <v>-3.7199999999999997E-2</v>
      </c>
      <c r="N12" s="10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3">
      <c r="A13" s="15">
        <v>12</v>
      </c>
      <c r="B13" s="11">
        <v>-0.2298</v>
      </c>
      <c r="C13" s="11">
        <v>-0.25530000000000003</v>
      </c>
      <c r="D13" s="11">
        <v>-0.3921</v>
      </c>
      <c r="E13" s="11">
        <v>-0.34310000000000002</v>
      </c>
      <c r="F13" s="11">
        <v>-0.1565</v>
      </c>
      <c r="G13" s="5">
        <v>-9.2893800229621126E-2</v>
      </c>
      <c r="H13" s="11">
        <v>-7.3599999999999999E-2</v>
      </c>
      <c r="I13" s="11">
        <v>-6.1699999999999998E-2</v>
      </c>
      <c r="J13" s="5">
        <v>-5.6550000000000003E-2</v>
      </c>
      <c r="K13" s="11">
        <v>-5.1400000000000001E-2</v>
      </c>
      <c r="L13" s="11">
        <v>-4.3700000000000003E-2</v>
      </c>
      <c r="N13" s="10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3">
      <c r="A14" s="15">
        <v>16</v>
      </c>
      <c r="B14" s="11">
        <v>-0.30680000000000002</v>
      </c>
      <c r="C14" s="11">
        <v>-0.34179999999999999</v>
      </c>
      <c r="D14" s="11">
        <v>-0.46479999999999999</v>
      </c>
      <c r="E14" s="11">
        <v>-0.41060000000000002</v>
      </c>
      <c r="F14" s="11">
        <v>-0.18909999999999999</v>
      </c>
      <c r="G14" s="5">
        <v>-0.12271106011932079</v>
      </c>
      <c r="H14" s="11">
        <v>-9.5600000000000004E-2</v>
      </c>
      <c r="I14" s="11">
        <v>-7.4399999999999994E-2</v>
      </c>
      <c r="J14" s="5">
        <v>-6.7750000000000005E-2</v>
      </c>
      <c r="K14" s="11">
        <v>-6.1100000000000002E-2</v>
      </c>
      <c r="L14" s="11">
        <v>-5.2900000000000003E-2</v>
      </c>
      <c r="N14" s="10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3">
      <c r="A15" s="15">
        <v>20</v>
      </c>
      <c r="B15" s="11">
        <v>-0.38390000000000002</v>
      </c>
      <c r="C15" s="11">
        <v>-0.3891</v>
      </c>
      <c r="D15" s="11">
        <v>-0.49430000000000002</v>
      </c>
      <c r="E15" s="11">
        <v>-0.43740000000000001</v>
      </c>
      <c r="F15" s="11">
        <v>-0.20519999999999999</v>
      </c>
      <c r="G15" s="5">
        <v>-0.14121203007518796</v>
      </c>
      <c r="H15" s="11">
        <v>-0.11409999999999999</v>
      </c>
      <c r="I15" s="11">
        <v>-9.0499999999999997E-2</v>
      </c>
      <c r="J15" s="5">
        <v>-8.3299999999999999E-2</v>
      </c>
      <c r="K15" s="11">
        <v>-7.6100000000000001E-2</v>
      </c>
      <c r="L15" s="11">
        <v>-6.7599999999999993E-2</v>
      </c>
      <c r="N15" s="10"/>
      <c r="O15" s="10"/>
    </row>
    <row r="16" spans="1:25" x14ac:dyDescent="0.3">
      <c r="A16" s="14" t="s">
        <v>12</v>
      </c>
      <c r="B16" s="14">
        <v>0.3</v>
      </c>
      <c r="C16" s="14">
        <v>0.5</v>
      </c>
      <c r="D16" s="14">
        <v>0.8</v>
      </c>
      <c r="E16" s="14">
        <v>1.2</v>
      </c>
      <c r="F16" s="14">
        <v>2</v>
      </c>
      <c r="G16" s="28">
        <v>3</v>
      </c>
      <c r="H16" s="14">
        <v>4</v>
      </c>
      <c r="I16" s="14">
        <v>6</v>
      </c>
      <c r="J16" s="28">
        <v>7</v>
      </c>
      <c r="K16" s="14">
        <v>8</v>
      </c>
      <c r="L16" s="14">
        <v>10</v>
      </c>
      <c r="N16" s="10"/>
      <c r="O16" s="10"/>
    </row>
    <row r="17" spans="1:25" x14ac:dyDescent="0.3">
      <c r="A17" s="15">
        <v>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N17" s="10"/>
      <c r="O17" s="10"/>
    </row>
    <row r="18" spans="1:25" x14ac:dyDescent="0.3">
      <c r="A18" s="15">
        <v>2</v>
      </c>
      <c r="B18" s="11">
        <v>0.1298</v>
      </c>
      <c r="C18" s="11">
        <v>0.13400000000000001</v>
      </c>
      <c r="D18" s="11">
        <v>0.152</v>
      </c>
      <c r="E18" s="11">
        <v>0.1434</v>
      </c>
      <c r="F18" s="11">
        <v>0.1113</v>
      </c>
      <c r="G18" s="5">
        <v>9.5904317180616733E-2</v>
      </c>
      <c r="H18" s="11">
        <v>8.9700000000000002E-2</v>
      </c>
      <c r="I18" s="11">
        <v>8.3599999999999994E-2</v>
      </c>
      <c r="J18" s="5">
        <v>8.1299999999999997E-2</v>
      </c>
      <c r="K18" s="11">
        <v>7.9000000000000001E-2</v>
      </c>
      <c r="L18" s="11">
        <v>7.2800000000000004E-2</v>
      </c>
      <c r="N18" s="10"/>
      <c r="O18" s="10"/>
    </row>
    <row r="19" spans="1:25" x14ac:dyDescent="0.3">
      <c r="A19" s="15">
        <v>4</v>
      </c>
      <c r="B19" s="11">
        <v>0.2606</v>
      </c>
      <c r="C19" s="11">
        <v>0.26929999999999998</v>
      </c>
      <c r="D19" s="11">
        <v>0.307</v>
      </c>
      <c r="E19" s="11">
        <v>0.29099999999999998</v>
      </c>
      <c r="F19" s="11">
        <v>0.22470000000000001</v>
      </c>
      <c r="G19" s="5">
        <v>0.19404569304766073</v>
      </c>
      <c r="H19" s="11">
        <v>0.18160000000000001</v>
      </c>
      <c r="I19" s="11">
        <v>0.16980000000000001</v>
      </c>
      <c r="J19" s="5">
        <v>0.16535</v>
      </c>
      <c r="K19" s="11">
        <v>0.16089999999999999</v>
      </c>
      <c r="L19" s="11">
        <v>0.15329999999999999</v>
      </c>
      <c r="N19" s="10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3">
      <c r="A20" s="15">
        <v>8</v>
      </c>
      <c r="B20" s="11">
        <v>0.52429999999999999</v>
      </c>
      <c r="C20" s="11">
        <v>0.54310000000000003</v>
      </c>
      <c r="D20" s="11">
        <v>0.62660000000000005</v>
      </c>
      <c r="E20" s="11">
        <v>0.59119999999999995</v>
      </c>
      <c r="F20" s="11">
        <v>0.4617</v>
      </c>
      <c r="G20" s="5">
        <v>0.40834756331134286</v>
      </c>
      <c r="H20" s="11">
        <v>0.38650000000000001</v>
      </c>
      <c r="I20" s="11">
        <v>0.35920000000000002</v>
      </c>
      <c r="J20" s="5">
        <v>0.34870000000000001</v>
      </c>
      <c r="K20" s="11">
        <v>0.3382</v>
      </c>
      <c r="L20" s="11">
        <v>0.3251</v>
      </c>
      <c r="N20" s="10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3">
      <c r="A21" s="15">
        <v>12</v>
      </c>
      <c r="B21" s="11">
        <v>0.78500000000000003</v>
      </c>
      <c r="C21" s="11">
        <v>0.81530000000000002</v>
      </c>
      <c r="D21" s="11">
        <v>0.95369999999999999</v>
      </c>
      <c r="E21" s="11">
        <v>0.88249999999999995</v>
      </c>
      <c r="F21" s="11">
        <v>0.72409999999999997</v>
      </c>
      <c r="G21" s="5">
        <v>0.6628752845528455</v>
      </c>
      <c r="H21" s="11">
        <v>0.62719999999999998</v>
      </c>
      <c r="I21" s="11">
        <v>0.56920000000000004</v>
      </c>
      <c r="J21" s="5">
        <v>0.55154999999999998</v>
      </c>
      <c r="K21" s="11">
        <v>0.53390000000000004</v>
      </c>
      <c r="L21" s="11">
        <v>0.51370000000000005</v>
      </c>
      <c r="N21" s="10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3">
      <c r="A22" s="15">
        <v>16</v>
      </c>
      <c r="B22" s="11">
        <v>1.0368999999999999</v>
      </c>
      <c r="C22" s="11">
        <v>1.0812999999999999</v>
      </c>
      <c r="D22" s="11">
        <v>1.2181</v>
      </c>
      <c r="E22" s="11">
        <v>1.1594</v>
      </c>
      <c r="F22" s="11">
        <v>1.0374000000000001</v>
      </c>
      <c r="G22" s="5">
        <v>0.95668941908713701</v>
      </c>
      <c r="H22" s="11">
        <v>0.88949999999999996</v>
      </c>
      <c r="I22" s="11">
        <v>0.79659999999999997</v>
      </c>
      <c r="J22" s="5">
        <v>0.7732</v>
      </c>
      <c r="K22" s="11">
        <v>0.74980000000000002</v>
      </c>
      <c r="L22" s="11">
        <v>0.72470000000000001</v>
      </c>
      <c r="N22" s="10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3">
      <c r="A23" s="15">
        <v>20</v>
      </c>
      <c r="B23" s="11">
        <v>1.2790999999999999</v>
      </c>
      <c r="C23" s="11">
        <v>1.3029999999999999</v>
      </c>
      <c r="D23" s="11">
        <v>1.4461999999999999</v>
      </c>
      <c r="E23" s="11">
        <v>1.4329000000000001</v>
      </c>
      <c r="F23" s="11">
        <v>1.4014</v>
      </c>
      <c r="G23" s="5">
        <v>1.2553539401513574</v>
      </c>
      <c r="H23" s="11">
        <v>1.1606000000000001</v>
      </c>
      <c r="I23" s="11">
        <v>1.044</v>
      </c>
      <c r="J23" s="5">
        <v>1.0169000000000001</v>
      </c>
      <c r="K23" s="11">
        <v>0.98980000000000001</v>
      </c>
      <c r="L23" s="11">
        <v>0.96140000000000003</v>
      </c>
      <c r="N23" s="10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3">
      <c r="A24" s="14" t="s">
        <v>13</v>
      </c>
      <c r="B24" s="14">
        <v>0.3</v>
      </c>
      <c r="C24" s="14">
        <v>0.5</v>
      </c>
      <c r="D24" s="14">
        <v>0.8</v>
      </c>
      <c r="E24" s="14">
        <v>1.2</v>
      </c>
      <c r="F24" s="14">
        <v>2</v>
      </c>
      <c r="G24" s="28">
        <v>3</v>
      </c>
      <c r="H24" s="14">
        <v>4</v>
      </c>
      <c r="I24" s="14">
        <v>6</v>
      </c>
      <c r="J24" s="28">
        <v>7</v>
      </c>
      <c r="K24" s="14">
        <v>8</v>
      </c>
      <c r="L24" s="14">
        <v>10</v>
      </c>
      <c r="N24" s="10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3">
      <c r="A25" s="15">
        <v>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N25" s="10"/>
      <c r="O25" s="10"/>
    </row>
    <row r="26" spans="1:25" x14ac:dyDescent="0.3">
      <c r="A26" s="15">
        <v>2</v>
      </c>
      <c r="B26" s="5">
        <f t="shared" ref="B26:L31" si="0">B10/B18</f>
        <v>-0.25808936825885981</v>
      </c>
      <c r="C26" s="5">
        <f t="shared" si="0"/>
        <v>-0.29179104477611939</v>
      </c>
      <c r="D26" s="5">
        <f t="shared" si="0"/>
        <v>-0.39407894736842108</v>
      </c>
      <c r="E26" s="5">
        <f t="shared" si="0"/>
        <v>-0.40306834030683403</v>
      </c>
      <c r="F26" s="5">
        <f t="shared" si="0"/>
        <v>-0.24977538185085355</v>
      </c>
      <c r="G26" s="5">
        <v>-0.167125041922048</v>
      </c>
      <c r="H26" s="5">
        <f t="shared" si="0"/>
        <v>-0.14046822742474915</v>
      </c>
      <c r="I26" s="5">
        <f t="shared" si="0"/>
        <v>-0.17583732057416268</v>
      </c>
      <c r="J26" s="5">
        <v>-0.19741233117315729</v>
      </c>
      <c r="K26" s="5">
        <f t="shared" si="0"/>
        <v>-0.2189873417721519</v>
      </c>
      <c r="L26" s="5">
        <f t="shared" si="0"/>
        <v>-0.18956043956043955</v>
      </c>
      <c r="N26" s="10"/>
      <c r="O26" s="10"/>
    </row>
    <row r="27" spans="1:25" x14ac:dyDescent="0.3">
      <c r="A27" s="15">
        <v>4</v>
      </c>
      <c r="B27" s="5">
        <f t="shared" si="0"/>
        <v>-0.2709132770529547</v>
      </c>
      <c r="C27" s="5">
        <f t="shared" si="0"/>
        <v>-0.29855180096546602</v>
      </c>
      <c r="D27" s="5">
        <f t="shared" si="0"/>
        <v>-0.39934853420195443</v>
      </c>
      <c r="E27" s="5">
        <f t="shared" si="0"/>
        <v>-0.40996563573883166</v>
      </c>
      <c r="F27" s="5">
        <f t="shared" si="0"/>
        <v>-0.2510013351134846</v>
      </c>
      <c r="G27" s="5">
        <v>-0.16393405295921848</v>
      </c>
      <c r="H27" s="5">
        <f t="shared" si="0"/>
        <v>-0.13491189427312775</v>
      </c>
      <c r="I27" s="5">
        <f t="shared" si="0"/>
        <v>-0.15959952885747938</v>
      </c>
      <c r="J27" s="5">
        <v>-0.17178236231562596</v>
      </c>
      <c r="K27" s="5">
        <f t="shared" si="0"/>
        <v>-0.18396519577377254</v>
      </c>
      <c r="L27" s="5">
        <f t="shared" si="0"/>
        <v>-0.17286366601435096</v>
      </c>
      <c r="N27" s="10"/>
      <c r="O27" s="10"/>
    </row>
    <row r="28" spans="1:25" x14ac:dyDescent="0.3">
      <c r="A28" s="15">
        <v>8</v>
      </c>
      <c r="B28" s="5">
        <f t="shared" si="0"/>
        <v>-0.28495136372305935</v>
      </c>
      <c r="C28" s="5">
        <f t="shared" si="0"/>
        <v>-0.30712575952863191</v>
      </c>
      <c r="D28" s="5">
        <f t="shared" si="0"/>
        <v>-0.4058410469198851</v>
      </c>
      <c r="E28" s="5">
        <f t="shared" si="0"/>
        <v>-0.40764546684709069</v>
      </c>
      <c r="F28" s="5">
        <f t="shared" si="0"/>
        <v>-0.23911630929174787</v>
      </c>
      <c r="G28" s="5">
        <v>-0.15471349479939916</v>
      </c>
      <c r="H28" s="5">
        <f t="shared" si="0"/>
        <v>-0.12522639068564034</v>
      </c>
      <c r="I28" s="5">
        <f t="shared" si="0"/>
        <v>-0.13084632516703787</v>
      </c>
      <c r="J28" s="5">
        <v>-0.12869933053147872</v>
      </c>
      <c r="K28" s="5">
        <f t="shared" si="0"/>
        <v>-0.12655233589591958</v>
      </c>
      <c r="L28" s="5">
        <f t="shared" si="0"/>
        <v>-0.11442633035988925</v>
      </c>
      <c r="N28" s="10"/>
      <c r="O28" s="10"/>
    </row>
    <row r="29" spans="1:25" x14ac:dyDescent="0.3">
      <c r="A29" s="15">
        <v>12</v>
      </c>
      <c r="B29" s="5">
        <f t="shared" si="0"/>
        <v>-0.29273885350318468</v>
      </c>
      <c r="C29" s="5">
        <f t="shared" si="0"/>
        <v>-0.3131362688580891</v>
      </c>
      <c r="D29" s="5">
        <f t="shared" si="0"/>
        <v>-0.41113557722554261</v>
      </c>
      <c r="E29" s="5">
        <f t="shared" si="0"/>
        <v>-0.3887818696883853</v>
      </c>
      <c r="F29" s="5">
        <f t="shared" si="0"/>
        <v>-0.21613036873360034</v>
      </c>
      <c r="G29" s="5">
        <v>-0.14013767354787457</v>
      </c>
      <c r="H29" s="5">
        <f t="shared" si="0"/>
        <v>-0.11734693877551021</v>
      </c>
      <c r="I29" s="5">
        <f t="shared" si="0"/>
        <v>-0.1083977512297962</v>
      </c>
      <c r="J29" s="5">
        <v>-0.10233523073758025</v>
      </c>
      <c r="K29" s="5">
        <f t="shared" si="0"/>
        <v>-9.6272710245364296E-2</v>
      </c>
      <c r="L29" s="5">
        <f t="shared" si="0"/>
        <v>-8.5069106482382709E-2</v>
      </c>
      <c r="N29" s="10"/>
      <c r="O29" s="10"/>
    </row>
    <row r="30" spans="1:25" x14ac:dyDescent="0.3">
      <c r="A30" s="15">
        <v>16</v>
      </c>
      <c r="B30" s="5">
        <f t="shared" si="0"/>
        <v>-0.29588195582987753</v>
      </c>
      <c r="C30" s="5">
        <f t="shared" si="0"/>
        <v>-0.31610098954961624</v>
      </c>
      <c r="D30" s="5">
        <f t="shared" si="0"/>
        <v>-0.38157786717018305</v>
      </c>
      <c r="E30" s="5">
        <f t="shared" si="0"/>
        <v>-0.35414869760220807</v>
      </c>
      <c r="F30" s="5">
        <f t="shared" si="0"/>
        <v>-0.18228262965105069</v>
      </c>
      <c r="G30" s="5">
        <v>-0.12826635026068373</v>
      </c>
      <c r="H30" s="5">
        <f t="shared" si="0"/>
        <v>-0.10747611017425521</v>
      </c>
      <c r="I30" s="5">
        <f t="shared" si="0"/>
        <v>-9.3396936982174231E-2</v>
      </c>
      <c r="J30" s="5">
        <v>-8.7442666944007902E-2</v>
      </c>
      <c r="K30" s="5">
        <f t="shared" si="0"/>
        <v>-8.1488396905841559E-2</v>
      </c>
      <c r="L30" s="5">
        <f t="shared" si="0"/>
        <v>-7.2995722367876367E-2</v>
      </c>
      <c r="N30" s="10"/>
      <c r="O30" s="10"/>
    </row>
    <row r="31" spans="1:25" x14ac:dyDescent="0.3">
      <c r="A31" s="15">
        <v>20</v>
      </c>
      <c r="B31" s="5">
        <f t="shared" si="0"/>
        <v>-0.30013290594949577</v>
      </c>
      <c r="C31" s="5">
        <f t="shared" si="0"/>
        <v>-0.29861857252494245</v>
      </c>
      <c r="D31" s="5">
        <f t="shared" si="0"/>
        <v>-0.34179228322500349</v>
      </c>
      <c r="E31" s="5">
        <f t="shared" si="0"/>
        <v>-0.30525507711633748</v>
      </c>
      <c r="F31" s="5">
        <f t="shared" si="0"/>
        <v>-0.1464250035678607</v>
      </c>
      <c r="G31" s="5">
        <v>-0.11248782160843189</v>
      </c>
      <c r="H31" s="5">
        <f t="shared" si="0"/>
        <v>-9.8311218335343772E-2</v>
      </c>
      <c r="I31" s="5">
        <f t="shared" si="0"/>
        <v>-8.6685823754789268E-2</v>
      </c>
      <c r="J31" s="5">
        <v>-8.178502139446879E-2</v>
      </c>
      <c r="K31" s="5">
        <f t="shared" si="0"/>
        <v>-7.6884219034148313E-2</v>
      </c>
      <c r="L31" s="5">
        <f t="shared" si="0"/>
        <v>-7.0314125234033686E-2</v>
      </c>
      <c r="N31" s="10"/>
      <c r="O31" s="10"/>
    </row>
    <row r="32" spans="1:25" x14ac:dyDescent="0.3">
      <c r="A32" s="14" t="s">
        <v>14</v>
      </c>
      <c r="B32" s="14">
        <v>0.3</v>
      </c>
      <c r="C32" s="14">
        <v>0.5</v>
      </c>
      <c r="D32" s="14">
        <v>0.8</v>
      </c>
      <c r="E32" s="14">
        <v>1.2</v>
      </c>
      <c r="F32" s="14">
        <v>2</v>
      </c>
      <c r="G32" s="28">
        <v>3</v>
      </c>
      <c r="H32" s="14">
        <v>4</v>
      </c>
      <c r="I32" s="14">
        <v>6</v>
      </c>
      <c r="J32" s="28">
        <v>7</v>
      </c>
      <c r="K32" s="14">
        <v>8</v>
      </c>
      <c r="L32" s="14">
        <v>10</v>
      </c>
      <c r="N32" s="10"/>
      <c r="O32" s="10"/>
    </row>
    <row r="33" spans="1:22" x14ac:dyDescent="0.3">
      <c r="A33" s="15">
        <v>0</v>
      </c>
      <c r="B33" s="11">
        <v>-8.9800000000000005E-2</v>
      </c>
      <c r="C33" s="11">
        <v>-9.3399999999999997E-2</v>
      </c>
      <c r="D33" s="11">
        <v>-0.10829999999999999</v>
      </c>
      <c r="E33" s="11">
        <v>-0.1004</v>
      </c>
      <c r="F33" s="11">
        <v>-8.0299999999999996E-2</v>
      </c>
      <c r="G33" s="5">
        <v>-5.6585404789053592E-2</v>
      </c>
      <c r="H33" s="11">
        <v>-4.7899999999999998E-2</v>
      </c>
      <c r="I33" s="11">
        <v>-4.07E-2</v>
      </c>
      <c r="J33" s="5">
        <v>-3.9300000000000002E-2</v>
      </c>
      <c r="K33" s="11">
        <v>-3.7900000000000003E-2</v>
      </c>
      <c r="L33" s="11">
        <v>-3.6200000000000003E-2</v>
      </c>
      <c r="N33" s="10"/>
      <c r="O33" s="10"/>
      <c r="P33" s="10"/>
      <c r="Q33" s="10"/>
      <c r="R33" s="10"/>
      <c r="S33" s="10"/>
      <c r="T33" s="10"/>
      <c r="U33" s="10"/>
      <c r="V33" s="10"/>
    </row>
    <row r="34" spans="1:22" x14ac:dyDescent="0.3">
      <c r="A34" s="15">
        <v>2</v>
      </c>
      <c r="B34" s="11">
        <v>-9.0200000000000002E-2</v>
      </c>
      <c r="C34" s="11">
        <v>-9.3899999999999997E-2</v>
      </c>
      <c r="D34" s="11">
        <v>-0.10929999999999999</v>
      </c>
      <c r="E34" s="11">
        <v>-0.1021</v>
      </c>
      <c r="F34" s="11">
        <v>-8.0500000000000002E-2</v>
      </c>
      <c r="G34" s="5">
        <v>-5.7787827076222979E-2</v>
      </c>
      <c r="H34" s="11">
        <v>-4.87E-2</v>
      </c>
      <c r="I34" s="11">
        <v>-4.1599999999999998E-2</v>
      </c>
      <c r="J34" s="5">
        <v>-3.9999999999999994E-2</v>
      </c>
      <c r="K34" s="11">
        <v>-3.8399999999999997E-2</v>
      </c>
      <c r="L34" s="11">
        <v>-3.6499999999999998E-2</v>
      </c>
      <c r="N34" s="10"/>
      <c r="O34" s="10"/>
    </row>
    <row r="35" spans="1:22" x14ac:dyDescent="0.3">
      <c r="A35" s="15">
        <v>4</v>
      </c>
      <c r="B35" s="11">
        <v>-9.1200000000000003E-2</v>
      </c>
      <c r="C35" s="11">
        <v>-9.5100000000000004E-2</v>
      </c>
      <c r="D35" s="11">
        <v>-0.1119</v>
      </c>
      <c r="E35" s="11">
        <v>-0.1065</v>
      </c>
      <c r="F35" s="11">
        <v>-8.1000000000000003E-2</v>
      </c>
      <c r="G35" s="5">
        <v>-5.9125423728813568E-2</v>
      </c>
      <c r="H35" s="11">
        <v>-5.0599999999999999E-2</v>
      </c>
      <c r="I35" s="11">
        <v>-4.3499999999999997E-2</v>
      </c>
      <c r="J35" s="5">
        <v>-4.1599999999999998E-2</v>
      </c>
      <c r="K35" s="11">
        <v>-3.9699999999999999E-2</v>
      </c>
      <c r="L35" s="11">
        <v>-3.7400000000000003E-2</v>
      </c>
      <c r="N35" s="10"/>
      <c r="O35" s="10"/>
      <c r="P35" s="10"/>
      <c r="Q35" s="10"/>
      <c r="R35" s="10"/>
      <c r="S35" s="10"/>
      <c r="T35" s="10"/>
      <c r="U35" s="10"/>
      <c r="V35" s="10"/>
    </row>
    <row r="36" spans="1:22" x14ac:dyDescent="0.3">
      <c r="A36" s="15">
        <v>8</v>
      </c>
      <c r="B36" s="11">
        <v>-9.1999999999999998E-2</v>
      </c>
      <c r="C36" s="11">
        <v>-9.6000000000000002E-2</v>
      </c>
      <c r="D36" s="11">
        <v>-0.1168</v>
      </c>
      <c r="E36" s="11">
        <v>-0.1104</v>
      </c>
      <c r="F36" s="11">
        <v>-8.0699999999999994E-2</v>
      </c>
      <c r="G36" s="5">
        <v>-6.2363217097862758E-2</v>
      </c>
      <c r="H36" s="11">
        <v>-5.6099999999999997E-2</v>
      </c>
      <c r="I36" s="11">
        <v>-4.8399999999999999E-2</v>
      </c>
      <c r="J36" s="5">
        <v>-4.6199999999999998E-2</v>
      </c>
      <c r="K36" s="11">
        <v>-4.3999999999999997E-2</v>
      </c>
      <c r="L36" s="11">
        <v>-4.1300000000000003E-2</v>
      </c>
      <c r="N36" s="10"/>
      <c r="O36" s="10"/>
    </row>
    <row r="37" spans="1:22" x14ac:dyDescent="0.3">
      <c r="A37" s="15">
        <v>12</v>
      </c>
      <c r="B37" s="11">
        <v>-8.9700000000000002E-2</v>
      </c>
      <c r="C37" s="11">
        <v>-9.3600000000000003E-2</v>
      </c>
      <c r="D37" s="11">
        <v>-9.7100000000000006E-2</v>
      </c>
      <c r="E37" s="11">
        <v>-0.1028</v>
      </c>
      <c r="F37" s="11">
        <v>-7.8399999999999997E-2</v>
      </c>
      <c r="G37" s="5">
        <v>-6.4113385826771646E-2</v>
      </c>
      <c r="H37" s="11">
        <v>-6.0699999999999997E-2</v>
      </c>
      <c r="I37" s="11">
        <v>-5.3100000000000001E-2</v>
      </c>
      <c r="J37" s="5">
        <v>-5.1000000000000004E-2</v>
      </c>
      <c r="K37" s="11">
        <v>-4.8899999999999999E-2</v>
      </c>
      <c r="L37" s="11">
        <v>-4.65E-2</v>
      </c>
      <c r="N37" s="10"/>
      <c r="O37" s="10"/>
    </row>
    <row r="38" spans="1:22" x14ac:dyDescent="0.3">
      <c r="A38" s="15">
        <v>16</v>
      </c>
      <c r="B38" s="11">
        <v>-8.4599999999999995E-2</v>
      </c>
      <c r="C38" s="11">
        <v>-6.8500000000000005E-2</v>
      </c>
      <c r="D38" s="11">
        <v>-6.1199999999999997E-2</v>
      </c>
      <c r="E38" s="11">
        <v>-8.8800000000000004E-2</v>
      </c>
      <c r="F38" s="11">
        <v>-7.6399999999999996E-2</v>
      </c>
      <c r="G38" s="5">
        <v>-6.2286283185840709E-2</v>
      </c>
      <c r="H38" s="11">
        <v>-6.4399999999999999E-2</v>
      </c>
      <c r="I38" s="11">
        <v>-5.8500000000000003E-2</v>
      </c>
      <c r="J38" s="5">
        <v>-5.6500000000000002E-2</v>
      </c>
      <c r="K38" s="11">
        <v>-5.45E-2</v>
      </c>
      <c r="L38" s="11">
        <v>-5.2200000000000003E-2</v>
      </c>
      <c r="N38" s="10"/>
      <c r="O38" s="10"/>
    </row>
    <row r="39" spans="1:22" x14ac:dyDescent="0.3">
      <c r="A39" s="15">
        <v>20</v>
      </c>
      <c r="B39" s="11">
        <v>-5.2999999999999999E-2</v>
      </c>
      <c r="C39" s="11">
        <v>-4.3099999999999999E-2</v>
      </c>
      <c r="D39" s="11">
        <v>-2.52E-2</v>
      </c>
      <c r="E39" s="11">
        <v>-7.6200000000000004E-2</v>
      </c>
      <c r="F39" s="11">
        <v>-7.2900000000000006E-2</v>
      </c>
      <c r="G39" s="5">
        <v>-6.1287610619469038E-2</v>
      </c>
      <c r="H39" s="11">
        <v>-6.8400000000000002E-2</v>
      </c>
      <c r="I39" s="11">
        <v>-6.4100000000000004E-2</v>
      </c>
      <c r="J39" s="5">
        <v>-6.2450000000000006E-2</v>
      </c>
      <c r="K39" s="11">
        <v>-6.08E-2</v>
      </c>
      <c r="L39" s="11">
        <v>-5.8700000000000002E-2</v>
      </c>
      <c r="N39" s="10"/>
      <c r="O39" s="10"/>
    </row>
    <row r="40" spans="1:22" x14ac:dyDescent="0.3">
      <c r="A40" s="14" t="s">
        <v>15</v>
      </c>
      <c r="B40" s="14">
        <v>0.3</v>
      </c>
      <c r="C40" s="14">
        <v>0.5</v>
      </c>
      <c r="D40" s="14">
        <v>0.8</v>
      </c>
      <c r="E40" s="14">
        <v>1.2</v>
      </c>
      <c r="F40" s="14">
        <v>2</v>
      </c>
      <c r="G40" s="28">
        <v>3</v>
      </c>
      <c r="H40" s="14">
        <v>4</v>
      </c>
      <c r="I40" s="14">
        <v>6</v>
      </c>
      <c r="J40" s="28">
        <v>7</v>
      </c>
      <c r="K40" s="14">
        <v>8</v>
      </c>
      <c r="L40" s="14">
        <v>10</v>
      </c>
      <c r="N40" s="10"/>
      <c r="O40" s="10"/>
    </row>
    <row r="41" spans="1:22" x14ac:dyDescent="0.3">
      <c r="A41" s="15">
        <v>0</v>
      </c>
      <c r="B41" s="11">
        <v>-0.18099999999999999</v>
      </c>
      <c r="C41" s="11">
        <v>-0.1888</v>
      </c>
      <c r="D41" s="11">
        <v>-0.22320000000000001</v>
      </c>
      <c r="E41" s="11">
        <v>-0.2082</v>
      </c>
      <c r="F41" s="11">
        <v>-0.1588</v>
      </c>
      <c r="G41" s="5">
        <v>-0.1157821325648415</v>
      </c>
      <c r="H41" s="11">
        <v>-0.1007</v>
      </c>
      <c r="I41" s="11">
        <v>-8.8300000000000003E-2</v>
      </c>
      <c r="J41" s="5">
        <v>-8.6150000000000004E-2</v>
      </c>
      <c r="K41" s="11">
        <v>-8.4000000000000005E-2</v>
      </c>
      <c r="L41" s="11">
        <v>-8.1000000000000003E-2</v>
      </c>
      <c r="N41" s="10"/>
      <c r="O41" s="10"/>
    </row>
    <row r="42" spans="1:22" x14ac:dyDescent="0.3">
      <c r="A42" s="15">
        <v>2</v>
      </c>
      <c r="B42" s="11">
        <v>-0.18099999999999999</v>
      </c>
      <c r="C42" s="11">
        <v>-0.18870000000000001</v>
      </c>
      <c r="D42" s="11">
        <v>-0.22389999999999999</v>
      </c>
      <c r="E42" s="11">
        <v>-0.2079</v>
      </c>
      <c r="F42" s="11">
        <v>-0.15870000000000001</v>
      </c>
      <c r="G42" s="5">
        <v>-0.11774516129032259</v>
      </c>
      <c r="H42" s="11">
        <v>-0.1017</v>
      </c>
      <c r="I42" s="11">
        <v>-8.9399999999999993E-2</v>
      </c>
      <c r="J42" s="5">
        <v>-8.695E-2</v>
      </c>
      <c r="K42" s="11">
        <v>-8.4500000000000006E-2</v>
      </c>
      <c r="L42" s="11">
        <v>-8.1299999999999997E-2</v>
      </c>
      <c r="N42" s="10"/>
      <c r="O42" s="10"/>
    </row>
    <row r="43" spans="1:22" x14ac:dyDescent="0.3">
      <c r="A43" s="15">
        <v>4</v>
      </c>
      <c r="B43" s="11">
        <v>-0.18090000000000001</v>
      </c>
      <c r="C43" s="11">
        <v>-0.18840000000000001</v>
      </c>
      <c r="D43" s="11">
        <v>-0.2233</v>
      </c>
      <c r="E43" s="11">
        <v>-0.20730000000000001</v>
      </c>
      <c r="F43" s="11">
        <v>-0.15840000000000001</v>
      </c>
      <c r="G43" s="5">
        <v>-0.11880000000000003</v>
      </c>
      <c r="H43" s="11">
        <v>-0.1045</v>
      </c>
      <c r="I43" s="11">
        <v>-9.2700000000000005E-2</v>
      </c>
      <c r="J43" s="5">
        <v>-8.9450000000000002E-2</v>
      </c>
      <c r="K43" s="11">
        <v>-8.6199999999999999E-2</v>
      </c>
      <c r="L43" s="11">
        <v>-8.2199999999999995E-2</v>
      </c>
      <c r="N43" s="10"/>
      <c r="O43" s="10"/>
    </row>
    <row r="44" spans="1:22" x14ac:dyDescent="0.3">
      <c r="A44" s="15">
        <v>8</v>
      </c>
      <c r="B44" s="11">
        <v>-0.1802</v>
      </c>
      <c r="C44" s="11">
        <v>-0.18790000000000001</v>
      </c>
      <c r="D44" s="11">
        <v>-0.2054</v>
      </c>
      <c r="E44" s="11">
        <v>-0.20469999999999999</v>
      </c>
      <c r="F44" s="11">
        <v>-0.15709999999999999</v>
      </c>
      <c r="G44" s="5">
        <v>-0.12207941847206386</v>
      </c>
      <c r="H44" s="11">
        <v>-0.1132</v>
      </c>
      <c r="I44" s="11">
        <v>-0.1007</v>
      </c>
      <c r="J44" s="5">
        <v>-9.6849999999999992E-2</v>
      </c>
      <c r="K44" s="11">
        <v>-9.2999999999999999E-2</v>
      </c>
      <c r="L44" s="11">
        <v>-8.8099999999999998E-2</v>
      </c>
      <c r="N44" s="10"/>
      <c r="O44" s="10"/>
    </row>
    <row r="45" spans="1:22" x14ac:dyDescent="0.3">
      <c r="A45" s="15">
        <v>12</v>
      </c>
      <c r="B45" s="11">
        <v>-0.17219999999999999</v>
      </c>
      <c r="C45" s="11">
        <v>-0.159</v>
      </c>
      <c r="D45" s="11">
        <v>-0.1754</v>
      </c>
      <c r="E45" s="11">
        <v>-0.1938</v>
      </c>
      <c r="F45" s="11">
        <v>-0.15459999999999999</v>
      </c>
      <c r="G45" s="5">
        <v>-0.12483229813664593</v>
      </c>
      <c r="H45" s="11">
        <v>-0.12039999999999999</v>
      </c>
      <c r="I45" s="11">
        <v>-0.1074</v>
      </c>
      <c r="J45" s="5">
        <v>-0.1038</v>
      </c>
      <c r="K45" s="11">
        <v>-0.1002</v>
      </c>
      <c r="L45" s="11">
        <v>-9.5799999999999996E-2</v>
      </c>
      <c r="N45" s="10"/>
      <c r="O45" s="10"/>
    </row>
    <row r="46" spans="1:22" x14ac:dyDescent="0.3">
      <c r="A46" s="15">
        <v>16</v>
      </c>
      <c r="B46" s="11">
        <v>-0.1376</v>
      </c>
      <c r="C46" s="11">
        <v>-0.1303</v>
      </c>
      <c r="D46" s="11">
        <v>-0.1346</v>
      </c>
      <c r="E46" s="11">
        <v>-0.17460000000000001</v>
      </c>
      <c r="F46" s="11">
        <v>-0.15110000000000001</v>
      </c>
      <c r="G46" s="5">
        <v>-0.12291159663865547</v>
      </c>
      <c r="H46" s="11">
        <v>-0.126</v>
      </c>
      <c r="I46" s="11">
        <v>-0.11600000000000001</v>
      </c>
      <c r="J46" s="5">
        <v>-0.11269999999999999</v>
      </c>
      <c r="K46" s="11">
        <v>-0.1094</v>
      </c>
      <c r="L46" s="11">
        <v>-0.1051</v>
      </c>
      <c r="N46" s="10"/>
      <c r="O46" s="10"/>
    </row>
    <row r="47" spans="1:22" x14ac:dyDescent="0.3">
      <c r="A47" s="15">
        <v>20</v>
      </c>
      <c r="B47" s="11">
        <v>-0.1027</v>
      </c>
      <c r="C47" s="11">
        <v>-9.5899999999999999E-2</v>
      </c>
      <c r="D47" s="11">
        <v>-8.8800000000000004E-2</v>
      </c>
      <c r="E47" s="11">
        <v>-0.1527</v>
      </c>
      <c r="F47" s="11">
        <v>-0.1424</v>
      </c>
      <c r="G47" s="5">
        <v>-0.1246309924550203</v>
      </c>
      <c r="H47" s="11">
        <v>-0.13270000000000001</v>
      </c>
      <c r="I47" s="11">
        <v>-0.1246</v>
      </c>
      <c r="J47" s="5">
        <v>-0.12195</v>
      </c>
      <c r="K47" s="11">
        <v>-0.1193</v>
      </c>
      <c r="L47" s="11">
        <v>-0.1159</v>
      </c>
      <c r="N47" s="10"/>
      <c r="O47" s="10"/>
    </row>
    <row r="48" spans="1:22" x14ac:dyDescent="0.3">
      <c r="A48" s="14" t="s">
        <v>16</v>
      </c>
      <c r="B48" s="14">
        <v>0.3</v>
      </c>
      <c r="C48" s="14">
        <v>0.5</v>
      </c>
      <c r="D48" s="14">
        <v>0.8</v>
      </c>
      <c r="E48" s="14">
        <v>1.2</v>
      </c>
      <c r="F48" s="14">
        <v>2</v>
      </c>
      <c r="G48" s="28">
        <v>3</v>
      </c>
      <c r="H48" s="14">
        <v>4</v>
      </c>
      <c r="I48" s="14">
        <v>6</v>
      </c>
      <c r="J48" s="28">
        <v>7</v>
      </c>
      <c r="K48" s="14">
        <v>8</v>
      </c>
      <c r="L48" s="14">
        <v>10</v>
      </c>
      <c r="N48" s="10"/>
      <c r="O48" s="10"/>
    </row>
    <row r="49" spans="1:15" x14ac:dyDescent="0.3">
      <c r="A49" s="15">
        <v>0</v>
      </c>
      <c r="B49" s="11">
        <v>-0.27</v>
      </c>
      <c r="C49" s="11">
        <v>-0.28079999999999999</v>
      </c>
      <c r="D49" s="11">
        <v>-0.33339999999999997</v>
      </c>
      <c r="E49" s="11">
        <v>-0.30649999999999999</v>
      </c>
      <c r="F49" s="11">
        <v>-0.2301</v>
      </c>
      <c r="G49" s="5">
        <v>-0.17325282796543598</v>
      </c>
      <c r="H49" s="11">
        <v>-0.1573</v>
      </c>
      <c r="I49" s="11">
        <v>-0.14349999999999999</v>
      </c>
      <c r="J49" s="5">
        <v>-0.14155000000000001</v>
      </c>
      <c r="K49" s="11">
        <v>-0.1396</v>
      </c>
      <c r="L49" s="11">
        <v>-0.1363</v>
      </c>
      <c r="N49" s="10"/>
      <c r="O49" s="10"/>
    </row>
    <row r="50" spans="1:15" x14ac:dyDescent="0.3">
      <c r="A50" s="15">
        <v>2</v>
      </c>
      <c r="B50" s="11">
        <v>-0.26950000000000002</v>
      </c>
      <c r="C50" s="11">
        <v>-0.27939999999999998</v>
      </c>
      <c r="D50" s="11">
        <v>-0.32590000000000002</v>
      </c>
      <c r="E50" s="11">
        <v>-0.3044</v>
      </c>
      <c r="F50" s="11">
        <v>-0.23</v>
      </c>
      <c r="G50" s="5">
        <v>-0.17606274509803924</v>
      </c>
      <c r="H50" s="11">
        <v>-0.1585</v>
      </c>
      <c r="I50" s="11">
        <v>-0.14499999999999999</v>
      </c>
      <c r="J50" s="5">
        <v>-0.14255000000000001</v>
      </c>
      <c r="K50" s="11">
        <v>-0.1401</v>
      </c>
      <c r="L50" s="11">
        <v>-0.1366</v>
      </c>
      <c r="N50" s="10"/>
      <c r="O50" s="10"/>
    </row>
    <row r="51" spans="1:15" x14ac:dyDescent="0.3">
      <c r="A51" s="15">
        <v>4</v>
      </c>
      <c r="B51" s="11">
        <v>-0.26769999999999999</v>
      </c>
      <c r="C51" s="11">
        <v>-0.27600000000000002</v>
      </c>
      <c r="D51" s="11">
        <v>-0.31240000000000001</v>
      </c>
      <c r="E51" s="11">
        <v>-0.29870000000000002</v>
      </c>
      <c r="F51" s="11">
        <v>-0.2296</v>
      </c>
      <c r="G51" s="5">
        <v>-0.17659468749999999</v>
      </c>
      <c r="H51" s="11">
        <v>-0.16170000000000001</v>
      </c>
      <c r="I51" s="11">
        <v>-0.1489</v>
      </c>
      <c r="J51" s="5">
        <v>-0.14529999999999998</v>
      </c>
      <c r="K51" s="11">
        <v>-0.14169999999999999</v>
      </c>
      <c r="L51" s="11">
        <v>-0.13719999999999999</v>
      </c>
      <c r="N51" s="10"/>
      <c r="O51" s="10"/>
    </row>
    <row r="52" spans="1:15" x14ac:dyDescent="0.3">
      <c r="A52" s="15">
        <v>8</v>
      </c>
      <c r="B52" s="11">
        <v>-0.2525</v>
      </c>
      <c r="C52" s="11">
        <v>-0.2452</v>
      </c>
      <c r="D52" s="11">
        <v>-0.27800000000000002</v>
      </c>
      <c r="E52" s="11">
        <v>-0.28299999999999997</v>
      </c>
      <c r="F52" s="11">
        <v>-0.2276</v>
      </c>
      <c r="G52" s="5">
        <v>-0.17892305308020148</v>
      </c>
      <c r="H52" s="11">
        <v>-0.17130000000000001</v>
      </c>
      <c r="I52" s="11">
        <v>-0.15770000000000001</v>
      </c>
      <c r="J52" s="5">
        <v>-0.1532</v>
      </c>
      <c r="K52" s="11">
        <v>-0.1487</v>
      </c>
      <c r="L52" s="11">
        <v>-0.14299999999999999</v>
      </c>
      <c r="N52" s="10"/>
      <c r="O52" s="10"/>
    </row>
    <row r="53" spans="1:15" x14ac:dyDescent="0.3">
      <c r="A53" s="15">
        <v>12</v>
      </c>
      <c r="B53" s="11">
        <v>-0.221</v>
      </c>
      <c r="C53" s="11">
        <v>-0.21829999999999999</v>
      </c>
      <c r="D53" s="11">
        <v>-0.24110000000000001</v>
      </c>
      <c r="E53" s="11">
        <v>-0.26469999999999999</v>
      </c>
      <c r="F53" s="11">
        <v>-0.22409999999999999</v>
      </c>
      <c r="G53" s="5">
        <v>-0.1827476982591876</v>
      </c>
      <c r="H53" s="11">
        <v>-0.17760000000000001</v>
      </c>
      <c r="I53" s="11">
        <v>-0.16300000000000001</v>
      </c>
      <c r="J53" s="5">
        <v>-0.15895000000000001</v>
      </c>
      <c r="K53" s="11">
        <v>-0.15490000000000001</v>
      </c>
      <c r="L53" s="11">
        <v>-0.15010000000000001</v>
      </c>
      <c r="N53" s="10"/>
      <c r="O53" s="10"/>
    </row>
    <row r="54" spans="1:15" x14ac:dyDescent="0.3">
      <c r="A54" s="15">
        <v>16</v>
      </c>
      <c r="B54" s="11">
        <v>-0.18729999999999999</v>
      </c>
      <c r="C54" s="11">
        <v>-0.18390000000000001</v>
      </c>
      <c r="D54" s="11">
        <v>-0.19939999999999999</v>
      </c>
      <c r="E54" s="11">
        <v>-0.2356</v>
      </c>
      <c r="F54" s="11">
        <v>-0.21920000000000001</v>
      </c>
      <c r="G54" s="5">
        <v>-0.18215451713395642</v>
      </c>
      <c r="H54" s="11">
        <v>-0.1832</v>
      </c>
      <c r="I54" s="11">
        <v>-0.1711</v>
      </c>
      <c r="J54" s="5">
        <v>-0.16725000000000001</v>
      </c>
      <c r="K54" s="11">
        <v>-0.16339999999999999</v>
      </c>
      <c r="L54" s="11">
        <v>-0.15840000000000001</v>
      </c>
      <c r="N54" s="10"/>
      <c r="O54" s="10"/>
    </row>
    <row r="55" spans="1:15" x14ac:dyDescent="0.3">
      <c r="A55" s="15">
        <v>20</v>
      </c>
      <c r="B55" s="11">
        <v>-0.15229999999999999</v>
      </c>
      <c r="C55" s="11">
        <v>-0.1444</v>
      </c>
      <c r="D55" s="11">
        <v>-0.1537</v>
      </c>
      <c r="E55" s="11">
        <v>-0.20369999999999999</v>
      </c>
      <c r="F55" s="11">
        <v>-0.20499999999999999</v>
      </c>
      <c r="G55" s="5">
        <v>-0.18719602977667493</v>
      </c>
      <c r="H55" s="11">
        <v>-0.19109999999999999</v>
      </c>
      <c r="I55" s="11">
        <v>-0.17979999999999999</v>
      </c>
      <c r="J55" s="5">
        <v>-0.17604999999999998</v>
      </c>
      <c r="K55" s="11">
        <v>-0.17230000000000001</v>
      </c>
      <c r="L55" s="11">
        <v>-0.1678</v>
      </c>
      <c r="N55" s="10"/>
      <c r="O55" s="10"/>
    </row>
    <row r="56" spans="1:15" x14ac:dyDescent="0.3">
      <c r="A56" s="14" t="s">
        <v>17</v>
      </c>
      <c r="B56" s="14">
        <v>0.3</v>
      </c>
      <c r="C56" s="14">
        <v>0.5</v>
      </c>
      <c r="D56" s="14">
        <v>0.8</v>
      </c>
      <c r="E56" s="14">
        <v>1.2</v>
      </c>
      <c r="F56" s="14">
        <v>2</v>
      </c>
      <c r="G56" s="28">
        <v>3</v>
      </c>
      <c r="H56" s="14">
        <v>4</v>
      </c>
      <c r="I56" s="14">
        <v>6</v>
      </c>
      <c r="J56" s="28">
        <v>7</v>
      </c>
      <c r="K56" s="14">
        <v>8</v>
      </c>
      <c r="L56" s="14">
        <v>10</v>
      </c>
      <c r="N56" s="10"/>
      <c r="O56" s="10"/>
    </row>
    <row r="57" spans="1:15" x14ac:dyDescent="0.3">
      <c r="A57" s="15">
        <v>0</v>
      </c>
      <c r="B57" s="11">
        <v>-9.8000000000000004E-2</v>
      </c>
      <c r="C57" s="11">
        <v>-0.104</v>
      </c>
      <c r="D57" s="11">
        <v>-0.121</v>
      </c>
      <c r="E57" s="11">
        <v>-0.17599999999999999</v>
      </c>
      <c r="F57" s="11">
        <v>-9.9000000000000005E-2</v>
      </c>
      <c r="G57" s="5">
        <v>-7.9406249999999998E-2</v>
      </c>
      <c r="H57" s="2">
        <v>-7.0000000000000007E-2</v>
      </c>
      <c r="I57" s="2">
        <v>-6.2E-2</v>
      </c>
      <c r="J57" s="5">
        <v>-5.9499999999999997E-2</v>
      </c>
      <c r="K57" s="5">
        <v>-5.7000000000000002E-2</v>
      </c>
      <c r="L57" s="5">
        <v>-5.5E-2</v>
      </c>
      <c r="N57" s="10"/>
      <c r="O57" s="10"/>
    </row>
    <row r="58" spans="1:15" x14ac:dyDescent="0.3">
      <c r="A58" s="15">
        <v>2</v>
      </c>
      <c r="B58" s="11">
        <v>-0.1</v>
      </c>
      <c r="C58" s="11">
        <v>-0.107</v>
      </c>
      <c r="D58" s="11">
        <v>-0.122</v>
      </c>
      <c r="E58" s="11">
        <v>-0.17499999999999999</v>
      </c>
      <c r="F58" s="11">
        <v>-9.9000000000000005E-2</v>
      </c>
      <c r="G58" s="5">
        <v>-7.9608247422680425E-2</v>
      </c>
      <c r="H58" s="2">
        <v>-7.0000000000000007E-2</v>
      </c>
      <c r="I58" s="2">
        <v>-6.2E-2</v>
      </c>
      <c r="J58" s="5">
        <v>-0.06</v>
      </c>
      <c r="K58" s="5">
        <v>-5.8000000000000003E-2</v>
      </c>
      <c r="L58" s="5">
        <v>-5.6000000000000001E-2</v>
      </c>
      <c r="N58" s="10"/>
      <c r="O58" s="10"/>
    </row>
    <row r="59" spans="1:15" x14ac:dyDescent="0.3">
      <c r="A59" s="15">
        <v>4</v>
      </c>
      <c r="B59" s="11">
        <v>-0.10199999999999999</v>
      </c>
      <c r="C59" s="11">
        <v>-0.108</v>
      </c>
      <c r="D59" s="11">
        <v>-0.123</v>
      </c>
      <c r="E59" s="11">
        <v>-0.17299999999999999</v>
      </c>
      <c r="F59" s="11">
        <v>-9.9000000000000005E-2</v>
      </c>
      <c r="G59" s="5">
        <v>-7.8795918367346937E-2</v>
      </c>
      <c r="H59" s="2">
        <v>-7.0999999999999994E-2</v>
      </c>
      <c r="I59" s="2">
        <v>-6.3E-2</v>
      </c>
      <c r="J59" s="5">
        <v>-6.1499999999999999E-2</v>
      </c>
      <c r="K59" s="5">
        <v>-0.06</v>
      </c>
      <c r="L59" s="5">
        <v>-5.8000000000000003E-2</v>
      </c>
      <c r="N59" s="10"/>
      <c r="O59" s="10"/>
    </row>
    <row r="60" spans="1:15" x14ac:dyDescent="0.3">
      <c r="A60" s="15">
        <v>8</v>
      </c>
      <c r="B60" s="11">
        <v>-0.104</v>
      </c>
      <c r="C60" s="11">
        <v>-0.109</v>
      </c>
      <c r="D60" s="11">
        <v>-0.121</v>
      </c>
      <c r="E60" s="11">
        <v>-0.16700000000000001</v>
      </c>
      <c r="F60" s="11">
        <v>-9.8000000000000004E-2</v>
      </c>
      <c r="G60" s="5">
        <v>-8.3708333333333329E-2</v>
      </c>
      <c r="H60" s="2">
        <v>-7.1999999999999995E-2</v>
      </c>
      <c r="I60" s="2">
        <v>-6.6000000000000003E-2</v>
      </c>
      <c r="J60" s="5">
        <v>-6.5000000000000002E-2</v>
      </c>
      <c r="K60" s="5">
        <v>-6.4000000000000001E-2</v>
      </c>
      <c r="L60" s="5">
        <v>-6.3E-2</v>
      </c>
      <c r="N60" s="10"/>
      <c r="O60" s="10"/>
    </row>
    <row r="61" spans="1:15" x14ac:dyDescent="0.3">
      <c r="A61" s="15">
        <v>12</v>
      </c>
      <c r="B61" s="11">
        <v>-0.08</v>
      </c>
      <c r="C61" s="11">
        <v>-8.3000000000000004E-2</v>
      </c>
      <c r="D61" s="11">
        <v>-0.1</v>
      </c>
      <c r="E61" s="11">
        <v>-0.154</v>
      </c>
      <c r="F61" s="11">
        <v>-9.8000000000000004E-2</v>
      </c>
      <c r="G61" s="5">
        <v>-8.1139784946236568E-2</v>
      </c>
      <c r="H61" s="2">
        <v>-7.2999999999999995E-2</v>
      </c>
      <c r="I61" s="2">
        <v>-6.8000000000000005E-2</v>
      </c>
      <c r="J61" s="5">
        <v>-6.7500000000000004E-2</v>
      </c>
      <c r="K61" s="5">
        <v>-6.7000000000000004E-2</v>
      </c>
      <c r="L61" s="5">
        <v>-6.6000000000000003E-2</v>
      </c>
      <c r="N61" s="10"/>
      <c r="O61" s="10"/>
    </row>
    <row r="62" spans="1:15" x14ac:dyDescent="0.3">
      <c r="A62" s="15">
        <v>16</v>
      </c>
      <c r="B62" s="11">
        <v>-0.06</v>
      </c>
      <c r="C62" s="11">
        <v>-0.06</v>
      </c>
      <c r="D62" s="11">
        <v>-7.9000000000000001E-2</v>
      </c>
      <c r="E62" s="11">
        <v>-0.14399999999999999</v>
      </c>
      <c r="F62" s="11">
        <v>-9.7000000000000003E-2</v>
      </c>
      <c r="G62" s="5">
        <v>-8.1010989010989021E-2</v>
      </c>
      <c r="H62" s="2">
        <v>-7.3999999999999996E-2</v>
      </c>
      <c r="I62" s="2">
        <v>-6.9000000000000006E-2</v>
      </c>
      <c r="J62" s="5">
        <v>-6.8500000000000005E-2</v>
      </c>
      <c r="K62" s="5">
        <v>-6.8000000000000005E-2</v>
      </c>
      <c r="L62" s="5">
        <v>-6.8000000000000005E-2</v>
      </c>
      <c r="N62" s="10"/>
      <c r="O62" s="10"/>
    </row>
    <row r="63" spans="1:15" x14ac:dyDescent="0.3">
      <c r="A63" s="15">
        <v>20</v>
      </c>
      <c r="B63" s="11">
        <v>-4.5999999999999999E-2</v>
      </c>
      <c r="C63" s="11">
        <v>-4.7E-2</v>
      </c>
      <c r="D63" s="11">
        <v>-6.9000000000000006E-2</v>
      </c>
      <c r="E63" s="11">
        <v>-0.13500000000000001</v>
      </c>
      <c r="F63" s="11">
        <v>-9.1999999999999998E-2</v>
      </c>
      <c r="G63" s="5">
        <v>-7.6494382022471913E-2</v>
      </c>
      <c r="H63" s="2">
        <v>-7.4999999999999997E-2</v>
      </c>
      <c r="I63" s="2">
        <v>-7.0000000000000007E-2</v>
      </c>
      <c r="J63" s="5">
        <v>-7.0000000000000007E-2</v>
      </c>
      <c r="K63" s="5">
        <v>-7.0000000000000007E-2</v>
      </c>
      <c r="L63" s="5">
        <v>-7.0000000000000007E-2</v>
      </c>
      <c r="N63" s="10"/>
      <c r="O63" s="10"/>
    </row>
    <row r="64" spans="1:15" x14ac:dyDescent="0.3">
      <c r="A64" s="14" t="s">
        <v>18</v>
      </c>
      <c r="B64" s="14">
        <v>0.3</v>
      </c>
      <c r="C64" s="14">
        <v>0.5</v>
      </c>
      <c r="D64" s="14">
        <v>0.8</v>
      </c>
      <c r="E64" s="14">
        <v>1.2</v>
      </c>
      <c r="F64" s="14">
        <v>2</v>
      </c>
      <c r="G64" s="28">
        <v>3</v>
      </c>
      <c r="H64" s="14">
        <v>4</v>
      </c>
      <c r="I64" s="14">
        <v>6</v>
      </c>
      <c r="J64" s="28">
        <v>7</v>
      </c>
      <c r="K64" s="14">
        <v>8</v>
      </c>
      <c r="L64" s="14">
        <v>10</v>
      </c>
      <c r="N64" s="10"/>
      <c r="O64" s="10"/>
    </row>
    <row r="65" spans="1:23" x14ac:dyDescent="0.3">
      <c r="A65" s="15">
        <v>0</v>
      </c>
      <c r="B65" s="11">
        <v>0.13200000000000001</v>
      </c>
      <c r="C65" s="11">
        <v>0.13500000000000001</v>
      </c>
      <c r="D65" s="11">
        <v>0.13900000000000001</v>
      </c>
      <c r="E65" s="11">
        <v>0.14899999999999999</v>
      </c>
      <c r="F65" s="11">
        <v>9.2999999999999999E-2</v>
      </c>
      <c r="G65" s="5">
        <v>7.4399999999999994E-2</v>
      </c>
      <c r="H65" s="5">
        <v>6.5000000000000002E-2</v>
      </c>
      <c r="I65" s="5">
        <v>5.6000000000000001E-2</v>
      </c>
      <c r="J65" s="5">
        <v>5.3999999999999999E-2</v>
      </c>
      <c r="K65" s="5">
        <v>5.1999999999999998E-2</v>
      </c>
      <c r="L65" s="5">
        <v>0.05</v>
      </c>
      <c r="N65" s="10"/>
      <c r="O65" s="10"/>
    </row>
    <row r="66" spans="1:23" x14ac:dyDescent="0.3">
      <c r="A66" s="15">
        <v>2</v>
      </c>
      <c r="B66" s="11">
        <v>0.13500000000000001</v>
      </c>
      <c r="C66" s="11">
        <v>0.13700000000000001</v>
      </c>
      <c r="D66" s="11">
        <v>0.14099999999999999</v>
      </c>
      <c r="E66" s="11">
        <v>0.14799999999999999</v>
      </c>
      <c r="F66" s="11">
        <v>9.2999999999999999E-2</v>
      </c>
      <c r="G66" s="5">
        <v>7.3582417582417584E-2</v>
      </c>
      <c r="H66" s="5">
        <v>6.5000000000000002E-2</v>
      </c>
      <c r="I66" s="5">
        <v>5.7000000000000002E-2</v>
      </c>
      <c r="J66" s="5">
        <v>5.5E-2</v>
      </c>
      <c r="K66" s="5">
        <v>5.2999999999999999E-2</v>
      </c>
      <c r="L66" s="5">
        <v>5.0999999999999997E-2</v>
      </c>
      <c r="N66" s="10"/>
      <c r="O66" s="10"/>
    </row>
    <row r="67" spans="1:23" x14ac:dyDescent="0.3">
      <c r="A67" s="15">
        <v>4</v>
      </c>
      <c r="B67" s="11">
        <v>0.13700000000000001</v>
      </c>
      <c r="C67" s="11">
        <v>0.13900000000000001</v>
      </c>
      <c r="D67" s="11">
        <v>0.14099999999999999</v>
      </c>
      <c r="E67" s="11">
        <v>0.14599999999999999</v>
      </c>
      <c r="F67" s="11">
        <v>9.2999999999999999E-2</v>
      </c>
      <c r="G67" s="5">
        <v>7.3793478260869558E-2</v>
      </c>
      <c r="H67" s="5">
        <v>6.5000000000000002E-2</v>
      </c>
      <c r="I67" s="5">
        <v>5.8000000000000003E-2</v>
      </c>
      <c r="J67" s="5">
        <v>5.6500000000000002E-2</v>
      </c>
      <c r="K67" s="5">
        <v>5.5E-2</v>
      </c>
      <c r="L67" s="5">
        <v>5.2999999999999999E-2</v>
      </c>
      <c r="N67" s="10"/>
      <c r="O67" s="10"/>
    </row>
    <row r="68" spans="1:23" x14ac:dyDescent="0.3">
      <c r="A68" s="15">
        <v>8</v>
      </c>
      <c r="B68" s="11">
        <v>0.13900000000000001</v>
      </c>
      <c r="C68" s="11">
        <v>0.14000000000000001</v>
      </c>
      <c r="D68" s="11">
        <v>0.13900000000000001</v>
      </c>
      <c r="E68" s="11">
        <v>0.14000000000000001</v>
      </c>
      <c r="F68" s="11">
        <v>9.1999999999999998E-2</v>
      </c>
      <c r="G68" s="5">
        <v>7.7688888888888891E-2</v>
      </c>
      <c r="H68" s="5">
        <v>6.7000000000000004E-2</v>
      </c>
      <c r="I68" s="5">
        <v>6.0999999999999999E-2</v>
      </c>
      <c r="J68" s="5">
        <v>5.9499999999999997E-2</v>
      </c>
      <c r="K68" s="5">
        <v>5.8000000000000003E-2</v>
      </c>
      <c r="L68" s="5">
        <v>5.8000000000000003E-2</v>
      </c>
      <c r="N68" s="10"/>
      <c r="O68" s="10"/>
    </row>
    <row r="69" spans="1:23" x14ac:dyDescent="0.3">
      <c r="A69" s="15">
        <v>12</v>
      </c>
      <c r="B69" s="11">
        <v>0.113</v>
      </c>
      <c r="C69" s="11">
        <v>0.112</v>
      </c>
      <c r="D69" s="11">
        <v>0.11600000000000001</v>
      </c>
      <c r="E69" s="11">
        <v>0.127</v>
      </c>
      <c r="F69" s="11">
        <v>9.1999999999999998E-2</v>
      </c>
      <c r="G69" s="5">
        <v>7.6137931034482756E-2</v>
      </c>
      <c r="H69" s="5">
        <v>6.8000000000000005E-2</v>
      </c>
      <c r="I69" s="5">
        <v>6.3E-2</v>
      </c>
      <c r="J69" s="5">
        <v>6.2E-2</v>
      </c>
      <c r="K69" s="5">
        <v>6.0999999999999999E-2</v>
      </c>
      <c r="L69" s="5">
        <v>6.0999999999999999E-2</v>
      </c>
      <c r="N69" s="10"/>
      <c r="O69" s="10"/>
    </row>
    <row r="70" spans="1:23" x14ac:dyDescent="0.3">
      <c r="A70" s="15">
        <v>16</v>
      </c>
      <c r="B70" s="11">
        <v>9.0999999999999998E-2</v>
      </c>
      <c r="C70" s="11">
        <v>8.6999999999999994E-2</v>
      </c>
      <c r="D70" s="11">
        <v>9.2999999999999999E-2</v>
      </c>
      <c r="E70" s="11">
        <v>0.11600000000000001</v>
      </c>
      <c r="F70" s="11">
        <v>9.0999999999999998E-2</v>
      </c>
      <c r="G70" s="5">
        <v>7.6011764705882348E-2</v>
      </c>
      <c r="H70" s="5">
        <v>6.8000000000000005E-2</v>
      </c>
      <c r="I70" s="5">
        <v>6.4000000000000001E-2</v>
      </c>
      <c r="J70" s="5">
        <v>6.3E-2</v>
      </c>
      <c r="K70" s="5">
        <v>6.2E-2</v>
      </c>
      <c r="L70" s="5">
        <v>6.3E-2</v>
      </c>
      <c r="N70" s="10"/>
      <c r="O70" s="10"/>
    </row>
    <row r="71" spans="1:23" x14ac:dyDescent="0.3">
      <c r="A71" s="15">
        <v>20</v>
      </c>
      <c r="B71" s="11">
        <v>7.5999999999999998E-2</v>
      </c>
      <c r="C71" s="11">
        <v>7.1999999999999995E-2</v>
      </c>
      <c r="D71" s="11">
        <v>8.2000000000000003E-2</v>
      </c>
      <c r="E71" s="11">
        <v>0.108</v>
      </c>
      <c r="F71" s="11">
        <v>8.5999999999999993E-2</v>
      </c>
      <c r="G71" s="5">
        <v>7.0457831325301201E-2</v>
      </c>
      <c r="H71" s="5">
        <v>6.9000000000000006E-2</v>
      </c>
      <c r="I71" s="5">
        <v>6.5000000000000002E-2</v>
      </c>
      <c r="J71" s="5">
        <v>6.4500000000000002E-2</v>
      </c>
      <c r="K71" s="5">
        <v>6.4000000000000001E-2</v>
      </c>
      <c r="L71" s="5">
        <v>6.4000000000000001E-2</v>
      </c>
      <c r="N71" s="10"/>
      <c r="O71" s="10"/>
    </row>
    <row r="72" spans="1:23" x14ac:dyDescent="0.3">
      <c r="A72" s="14" t="s">
        <v>19</v>
      </c>
      <c r="B72" s="14">
        <v>0.3</v>
      </c>
      <c r="C72" s="14">
        <v>0.5</v>
      </c>
      <c r="D72" s="14">
        <v>0.8</v>
      </c>
      <c r="E72" s="14">
        <v>1.2</v>
      </c>
      <c r="F72" s="14">
        <v>2</v>
      </c>
      <c r="G72" s="28">
        <v>3</v>
      </c>
      <c r="H72" s="14">
        <v>4</v>
      </c>
      <c r="I72" s="14">
        <v>6</v>
      </c>
      <c r="J72" s="28">
        <v>7</v>
      </c>
      <c r="K72" s="14">
        <v>8</v>
      </c>
      <c r="L72" s="14">
        <v>10</v>
      </c>
      <c r="N72" s="10"/>
      <c r="O72" s="10"/>
    </row>
    <row r="73" spans="1:23" x14ac:dyDescent="0.3">
      <c r="A73" s="15">
        <v>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N73" s="10"/>
      <c r="O73" s="10"/>
    </row>
    <row r="74" spans="1:23" x14ac:dyDescent="0.3">
      <c r="A74" s="15">
        <v>2</v>
      </c>
      <c r="B74" s="11">
        <v>-5.4199999999999998E-2</v>
      </c>
      <c r="C74" s="11">
        <v>-5.67E-2</v>
      </c>
      <c r="D74" s="11">
        <v>-6.9699999999999998E-2</v>
      </c>
      <c r="E74" s="11">
        <v>-6.2100000000000002E-2</v>
      </c>
      <c r="F74" s="11">
        <v>-3.7900000000000003E-2</v>
      </c>
      <c r="G74" s="5">
        <v>-2.4788131313131314E-2</v>
      </c>
      <c r="H74" s="11">
        <v>-2.06E-2</v>
      </c>
      <c r="I74" s="11">
        <v>-1.6899999999999998E-2</v>
      </c>
      <c r="J74" s="5">
        <v>-1.6049999999999998E-2</v>
      </c>
      <c r="K74" s="11">
        <v>-1.52E-2</v>
      </c>
      <c r="L74" s="11">
        <v>-1.41E-2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x14ac:dyDescent="0.3">
      <c r="A75" s="15">
        <v>4</v>
      </c>
      <c r="B75" s="11">
        <v>-0.10879999999999999</v>
      </c>
      <c r="C75" s="11">
        <v>-0.1139</v>
      </c>
      <c r="D75" s="11">
        <v>-0.14149999999999999</v>
      </c>
      <c r="E75" s="11">
        <v>-0.1275</v>
      </c>
      <c r="F75" s="11">
        <v>-7.6899999999999996E-2</v>
      </c>
      <c r="G75" s="5">
        <v>-5.1138017565872017E-2</v>
      </c>
      <c r="H75" s="11">
        <v>-3.5099999999999999E-2</v>
      </c>
      <c r="I75" s="11">
        <v>-4.2799999999999998E-2</v>
      </c>
      <c r="J75" s="5">
        <v>-3.7499999999999999E-2</v>
      </c>
      <c r="K75" s="11">
        <v>-3.2199999999999999E-2</v>
      </c>
      <c r="L75" s="11">
        <v>-3.04E-2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x14ac:dyDescent="0.3">
      <c r="A76" s="15">
        <v>8</v>
      </c>
      <c r="B76" s="11">
        <v>-0.22109999999999999</v>
      </c>
      <c r="C76" s="11">
        <v>-0.2334</v>
      </c>
      <c r="D76" s="11">
        <v>-0.29509999999999997</v>
      </c>
      <c r="E76" s="11">
        <v>-0.26269999999999999</v>
      </c>
      <c r="F76" s="11">
        <v>-0.1555</v>
      </c>
      <c r="G76" s="5">
        <v>-0.10534182722187695</v>
      </c>
      <c r="H76" s="11">
        <v>-8.8900000000000007E-2</v>
      </c>
      <c r="I76" s="11">
        <v>-7.4899999999999994E-2</v>
      </c>
      <c r="J76" s="5">
        <v>-7.2300000000000003E-2</v>
      </c>
      <c r="K76" s="11">
        <v>-6.9699999999999998E-2</v>
      </c>
      <c r="L76" s="11">
        <v>-6.6199999999999995E-2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x14ac:dyDescent="0.3">
      <c r="A77" s="15">
        <v>12</v>
      </c>
      <c r="B77" s="11">
        <v>-0.33229999999999998</v>
      </c>
      <c r="C77" s="11">
        <v>-0.35310000000000002</v>
      </c>
      <c r="D77" s="11">
        <v>-0.46379999999999999</v>
      </c>
      <c r="E77" s="11">
        <v>-0.3911</v>
      </c>
      <c r="F77" s="11">
        <v>-0.23169999999999999</v>
      </c>
      <c r="G77" s="5">
        <v>-0.16054119850187265</v>
      </c>
      <c r="H77" s="11">
        <v>-0.1391</v>
      </c>
      <c r="I77" s="11">
        <v>-0.12039999999999999</v>
      </c>
      <c r="J77" s="5">
        <v>-0.11729999999999999</v>
      </c>
      <c r="K77" s="11">
        <v>-0.1142</v>
      </c>
      <c r="L77" s="11">
        <v>-0.1106</v>
      </c>
      <c r="N77" s="10"/>
      <c r="O77" s="10"/>
    </row>
    <row r="78" spans="1:23" x14ac:dyDescent="0.3">
      <c r="A78" s="15">
        <v>16</v>
      </c>
      <c r="B78" s="11">
        <v>-0.44009999999999999</v>
      </c>
      <c r="C78" s="11">
        <v>-0.46650000000000003</v>
      </c>
      <c r="D78" s="11">
        <v>-0.56899999999999995</v>
      </c>
      <c r="E78" s="11">
        <v>-0.50139999999999996</v>
      </c>
      <c r="F78" s="11">
        <v>-0.30430000000000001</v>
      </c>
      <c r="G78" s="5">
        <v>-0.2143280602636535</v>
      </c>
      <c r="H78" s="11">
        <v>-0.19189999999999999</v>
      </c>
      <c r="I78" s="11">
        <v>-0.1721</v>
      </c>
      <c r="J78" s="5">
        <v>-0.1691</v>
      </c>
      <c r="K78" s="11">
        <v>-0.1661</v>
      </c>
      <c r="L78" s="11">
        <v>-0.16209999999999999</v>
      </c>
      <c r="N78" s="10"/>
      <c r="O78" s="10"/>
    </row>
    <row r="79" spans="1:23" x14ac:dyDescent="0.3">
      <c r="A79" s="15">
        <v>20</v>
      </c>
      <c r="B79" s="11">
        <v>-0.53290000000000004</v>
      </c>
      <c r="C79" s="11">
        <v>-0.52880000000000005</v>
      </c>
      <c r="D79" s="11">
        <v>-0.63790000000000002</v>
      </c>
      <c r="E79" s="11">
        <v>-0.58879999999999999</v>
      </c>
      <c r="F79" s="11">
        <v>-0.37309999999999999</v>
      </c>
      <c r="G79" s="5">
        <v>-0.26495643414756986</v>
      </c>
      <c r="H79" s="11">
        <v>-0.24529999999999999</v>
      </c>
      <c r="I79" s="11">
        <v>-0.22720000000000001</v>
      </c>
      <c r="J79" s="5">
        <v>-0.22525000000000001</v>
      </c>
      <c r="K79" s="11">
        <v>-0.2233</v>
      </c>
      <c r="L79" s="11">
        <v>-0.21940000000000001</v>
      </c>
      <c r="N79" s="10"/>
      <c r="O79" s="10"/>
    </row>
    <row r="80" spans="1:23" x14ac:dyDescent="0.3">
      <c r="A80" s="14" t="s">
        <v>20</v>
      </c>
      <c r="B80" s="14">
        <v>0.3</v>
      </c>
      <c r="C80" s="14">
        <v>0.5</v>
      </c>
      <c r="D80" s="14">
        <v>0.8</v>
      </c>
      <c r="E80" s="14">
        <v>1.2</v>
      </c>
      <c r="F80" s="14">
        <v>2</v>
      </c>
      <c r="G80" s="28">
        <v>3</v>
      </c>
      <c r="H80" s="14">
        <v>4</v>
      </c>
      <c r="I80" s="14">
        <v>6</v>
      </c>
      <c r="J80" s="28">
        <v>7</v>
      </c>
      <c r="K80" s="14">
        <v>8</v>
      </c>
      <c r="L80" s="14">
        <v>10</v>
      </c>
      <c r="N80" s="10"/>
      <c r="O80" s="10"/>
    </row>
    <row r="81" spans="1:23" x14ac:dyDescent="0.3">
      <c r="A81" s="15">
        <v>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N81" s="10"/>
      <c r="O81" s="10"/>
    </row>
    <row r="82" spans="1:23" x14ac:dyDescent="0.3">
      <c r="A82" s="15">
        <v>2</v>
      </c>
      <c r="B82" s="11">
        <v>5.8900000000000001E-2</v>
      </c>
      <c r="C82" s="11">
        <v>6.1899999999999997E-2</v>
      </c>
      <c r="D82" s="11">
        <v>7.3599999999999999E-2</v>
      </c>
      <c r="E82" s="11">
        <v>6.1699999999999998E-2</v>
      </c>
      <c r="F82" s="11">
        <v>3.7400000000000003E-2</v>
      </c>
      <c r="G82" s="5">
        <v>2.4708997429305917E-2</v>
      </c>
      <c r="H82" s="11">
        <v>2.0500000000000001E-2</v>
      </c>
      <c r="I82" s="11">
        <v>1.6899999999999998E-2</v>
      </c>
      <c r="J82" s="5">
        <v>1.6149999999999998E-2</v>
      </c>
      <c r="K82" s="11">
        <v>1.54E-2</v>
      </c>
      <c r="L82" s="11">
        <v>1.4500000000000001E-2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x14ac:dyDescent="0.3">
      <c r="A83" s="15">
        <v>4</v>
      </c>
      <c r="B83" s="11">
        <v>0.11799999999999999</v>
      </c>
      <c r="C83" s="11">
        <v>0.1242</v>
      </c>
      <c r="D83" s="11">
        <v>0.14940000000000001</v>
      </c>
      <c r="E83" s="11">
        <v>0.1265</v>
      </c>
      <c r="F83" s="11">
        <v>7.5700000000000003E-2</v>
      </c>
      <c r="G83" s="5">
        <v>5.0595408163265312E-2</v>
      </c>
      <c r="H83" s="11">
        <v>3.5099999999999999E-2</v>
      </c>
      <c r="I83" s="11">
        <v>4.24E-2</v>
      </c>
      <c r="J83" s="5">
        <v>3.7400000000000003E-2</v>
      </c>
      <c r="K83" s="11">
        <v>3.2399999999999998E-2</v>
      </c>
      <c r="L83" s="11">
        <v>3.0700000000000002E-2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x14ac:dyDescent="0.3">
      <c r="A84" s="15">
        <v>8</v>
      </c>
      <c r="B84" s="11">
        <v>0.24110000000000001</v>
      </c>
      <c r="C84" s="11">
        <v>0.2545</v>
      </c>
      <c r="D84" s="11">
        <v>0.31119999999999998</v>
      </c>
      <c r="E84" s="11">
        <v>0.26140000000000002</v>
      </c>
      <c r="F84" s="11">
        <v>0.1527</v>
      </c>
      <c r="G84" s="5">
        <v>0.10431596958174906</v>
      </c>
      <c r="H84" s="11">
        <v>8.8099999999999998E-2</v>
      </c>
      <c r="I84" s="11">
        <v>7.4700000000000003E-2</v>
      </c>
      <c r="J84" s="5">
        <v>7.2250000000000009E-2</v>
      </c>
      <c r="K84" s="11">
        <v>6.9800000000000001E-2</v>
      </c>
      <c r="L84" s="11">
        <v>6.6699999999999995E-2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x14ac:dyDescent="0.3">
      <c r="A85" s="15">
        <v>12</v>
      </c>
      <c r="B85" s="11">
        <v>0.36349999999999999</v>
      </c>
      <c r="C85" s="11">
        <v>0.3846</v>
      </c>
      <c r="D85" s="11">
        <v>0.4864</v>
      </c>
      <c r="E85" s="11">
        <v>0.38890000000000002</v>
      </c>
      <c r="F85" s="11">
        <v>0.22750000000000001</v>
      </c>
      <c r="G85" s="5">
        <v>0.15914364640883977</v>
      </c>
      <c r="H85" s="11">
        <v>0.13769999999999999</v>
      </c>
      <c r="I85" s="11">
        <v>0.11990000000000001</v>
      </c>
      <c r="J85" s="5">
        <v>0.11699999999999999</v>
      </c>
      <c r="K85" s="11">
        <v>0.11409999999999999</v>
      </c>
      <c r="L85" s="11">
        <v>0.1106</v>
      </c>
      <c r="N85" s="10"/>
      <c r="O85" s="10"/>
    </row>
    <row r="86" spans="1:23" x14ac:dyDescent="0.3">
      <c r="A86" s="15">
        <v>16</v>
      </c>
      <c r="B86" s="11">
        <v>0.48259999999999997</v>
      </c>
      <c r="C86" s="11">
        <v>0.50919999999999999</v>
      </c>
      <c r="D86" s="11">
        <v>0.59870000000000001</v>
      </c>
      <c r="E86" s="11">
        <v>0.49990000000000001</v>
      </c>
      <c r="F86" s="11">
        <v>0.29809999999999998</v>
      </c>
      <c r="G86" s="5">
        <v>0.21236751285347044</v>
      </c>
      <c r="H86" s="11">
        <v>0.1898</v>
      </c>
      <c r="I86" s="11">
        <v>0.17100000000000001</v>
      </c>
      <c r="J86" s="5">
        <v>0.16830000000000001</v>
      </c>
      <c r="K86" s="11">
        <v>0.1656</v>
      </c>
      <c r="L86" s="11">
        <v>0.1618</v>
      </c>
      <c r="N86" s="10"/>
      <c r="O86" s="10"/>
    </row>
    <row r="87" spans="1:23" x14ac:dyDescent="0.3">
      <c r="A87" s="15">
        <v>20</v>
      </c>
      <c r="B87" s="11">
        <v>0.58630000000000004</v>
      </c>
      <c r="C87" s="11">
        <v>0.58160000000000001</v>
      </c>
      <c r="D87" s="11">
        <v>0.67420000000000002</v>
      </c>
      <c r="E87" s="11">
        <v>0.58799999999999997</v>
      </c>
      <c r="F87" s="11">
        <v>0.36430000000000001</v>
      </c>
      <c r="G87" s="5">
        <v>0.26235635516438005</v>
      </c>
      <c r="H87" s="11">
        <v>0.24260000000000001</v>
      </c>
      <c r="I87" s="11">
        <v>0.22550000000000001</v>
      </c>
      <c r="J87" s="5">
        <v>0.2238</v>
      </c>
      <c r="K87" s="11">
        <v>0.22209999999999999</v>
      </c>
      <c r="L87" s="11">
        <v>0.21859999999999999</v>
      </c>
      <c r="N87" s="10"/>
      <c r="O87" s="10"/>
    </row>
    <row r="88" spans="1:23" ht="12.6" customHeight="1" x14ac:dyDescent="0.3">
      <c r="A88" s="14" t="s">
        <v>27</v>
      </c>
      <c r="B88" s="14">
        <v>0.3</v>
      </c>
      <c r="C88" s="14">
        <v>0.5</v>
      </c>
      <c r="D88" s="14">
        <v>0.8</v>
      </c>
      <c r="E88" s="14">
        <v>1.2</v>
      </c>
      <c r="F88" s="14">
        <v>2</v>
      </c>
      <c r="G88" s="28">
        <v>3</v>
      </c>
      <c r="H88" s="14">
        <v>4</v>
      </c>
      <c r="I88" s="14">
        <v>6</v>
      </c>
      <c r="J88" s="28">
        <v>7</v>
      </c>
      <c r="K88" s="14">
        <v>8</v>
      </c>
      <c r="L88" s="14">
        <v>10</v>
      </c>
      <c r="N88" s="10"/>
      <c r="O88" s="10"/>
    </row>
    <row r="89" spans="1:23" x14ac:dyDescent="0.3">
      <c r="A89" s="15">
        <v>0</v>
      </c>
      <c r="B89" s="11">
        <v>-3.3000000000000002E-2</v>
      </c>
      <c r="C89" s="11">
        <v>-3.4000000000000002E-2</v>
      </c>
      <c r="D89" s="11">
        <v>-3.6999999999999998E-2</v>
      </c>
      <c r="E89" s="11">
        <v>-4.4999999999999998E-2</v>
      </c>
      <c r="F89" s="11">
        <v>-2.4E-2</v>
      </c>
      <c r="G89" s="5">
        <v>-1.536E-2</v>
      </c>
      <c r="H89" s="11">
        <v>-1.0999999999999999E-2</v>
      </c>
      <c r="I89" s="3">
        <v>-7.0000000000000001E-3</v>
      </c>
      <c r="J89" s="5">
        <v>-6.0000000000000001E-3</v>
      </c>
      <c r="K89" s="3">
        <v>-5.0000000000000001E-3</v>
      </c>
      <c r="L89" s="5">
        <v>-4.0000000000000001E-3</v>
      </c>
      <c r="N89" s="10"/>
      <c r="O89" s="10"/>
    </row>
    <row r="90" spans="1:23" x14ac:dyDescent="0.3">
      <c r="A90" s="15">
        <v>2</v>
      </c>
      <c r="B90" s="11">
        <v>-3.4000000000000002E-2</v>
      </c>
      <c r="C90" s="11">
        <v>-3.5000000000000003E-2</v>
      </c>
      <c r="D90" s="11">
        <v>-3.6999999999999998E-2</v>
      </c>
      <c r="E90" s="11">
        <v>-4.4999999999999998E-2</v>
      </c>
      <c r="F90" s="11">
        <v>-2.4E-2</v>
      </c>
      <c r="G90" s="5">
        <v>-1.536E-2</v>
      </c>
      <c r="H90" s="11">
        <v>-1.0999999999999999E-2</v>
      </c>
      <c r="I90" s="3">
        <v>-7.0000000000000001E-3</v>
      </c>
      <c r="J90" s="5">
        <v>-6.0000000000000001E-3</v>
      </c>
      <c r="K90" s="3">
        <v>-5.0000000000000001E-3</v>
      </c>
      <c r="L90" s="5">
        <v>-4.0000000000000001E-3</v>
      </c>
      <c r="N90" s="10"/>
      <c r="O90" s="10"/>
    </row>
    <row r="91" spans="1:23" x14ac:dyDescent="0.3">
      <c r="A91" s="15">
        <v>4</v>
      </c>
      <c r="B91" s="11">
        <v>-3.5000000000000003E-2</v>
      </c>
      <c r="C91" s="11">
        <v>-3.5999999999999997E-2</v>
      </c>
      <c r="D91" s="11">
        <v>-3.6999999999999998E-2</v>
      </c>
      <c r="E91" s="11">
        <v>-4.4999999999999998E-2</v>
      </c>
      <c r="F91" s="11">
        <v>-2.4E-2</v>
      </c>
      <c r="G91" s="5">
        <v>-1.4769230769230771E-2</v>
      </c>
      <c r="H91" s="11">
        <v>-1.0999999999999999E-2</v>
      </c>
      <c r="I91" s="3">
        <v>-8.0000000000000002E-3</v>
      </c>
      <c r="J91" s="5">
        <v>-7.0000000000000001E-3</v>
      </c>
      <c r="K91" s="3">
        <v>-6.0000000000000001E-3</v>
      </c>
      <c r="L91" s="5">
        <v>-5.0000000000000001E-3</v>
      </c>
      <c r="N91" s="10"/>
      <c r="O91" s="10"/>
    </row>
    <row r="92" spans="1:23" x14ac:dyDescent="0.3">
      <c r="A92" s="15">
        <v>8</v>
      </c>
      <c r="B92" s="11">
        <v>-3.5999999999999997E-2</v>
      </c>
      <c r="C92" s="11">
        <v>-3.5999999999999997E-2</v>
      </c>
      <c r="D92" s="11">
        <v>-3.6999999999999998E-2</v>
      </c>
      <c r="E92" s="11">
        <v>-4.2999999999999997E-2</v>
      </c>
      <c r="F92" s="11">
        <v>-2.4E-2</v>
      </c>
      <c r="G92" s="5">
        <v>-1.7538461538461541E-2</v>
      </c>
      <c r="H92" s="11">
        <v>-1.2E-2</v>
      </c>
      <c r="I92" s="3">
        <v>-8.9999999999999993E-3</v>
      </c>
      <c r="J92" s="5">
        <v>-8.5000000000000006E-3</v>
      </c>
      <c r="K92" s="3">
        <v>-8.0000000000000002E-3</v>
      </c>
      <c r="L92" s="5">
        <v>-8.0000000000000002E-3</v>
      </c>
      <c r="N92" s="10"/>
      <c r="O92" s="10"/>
    </row>
    <row r="93" spans="1:23" x14ac:dyDescent="0.3">
      <c r="A93" s="15">
        <v>12</v>
      </c>
      <c r="B93" s="11">
        <v>-0.03</v>
      </c>
      <c r="C93" s="11">
        <v>-3.1E-2</v>
      </c>
      <c r="D93" s="11">
        <v>-3.2000000000000001E-2</v>
      </c>
      <c r="E93" s="11">
        <v>-0.04</v>
      </c>
      <c r="F93" s="11">
        <v>-2.4E-2</v>
      </c>
      <c r="G93" s="5">
        <v>-1.7279999999999997E-2</v>
      </c>
      <c r="H93" s="11">
        <v>-1.2999999999999999E-2</v>
      </c>
      <c r="I93" s="3">
        <v>-1.0999999999999999E-2</v>
      </c>
      <c r="J93" s="5">
        <v>-1.0499999999999999E-2</v>
      </c>
      <c r="K93" s="3">
        <v>-0.01</v>
      </c>
      <c r="L93" s="5">
        <v>-0.01</v>
      </c>
      <c r="N93" s="10"/>
      <c r="O93" s="10"/>
    </row>
    <row r="94" spans="1:23" x14ac:dyDescent="0.3">
      <c r="A94" s="15">
        <v>16</v>
      </c>
      <c r="B94" s="11">
        <v>-2.1999999999999999E-2</v>
      </c>
      <c r="C94" s="11">
        <v>-2.1000000000000001E-2</v>
      </c>
      <c r="D94" s="11">
        <v>-2.3E-2</v>
      </c>
      <c r="E94" s="11">
        <v>-3.5000000000000003E-2</v>
      </c>
      <c r="F94" s="11">
        <v>-2.5000000000000001E-2</v>
      </c>
      <c r="G94" s="5">
        <v>-1.7000000000000001E-2</v>
      </c>
      <c r="H94" s="11">
        <v>-1.4E-2</v>
      </c>
      <c r="I94" s="3">
        <v>-1.2E-2</v>
      </c>
      <c r="J94" s="5">
        <v>-1.15E-2</v>
      </c>
      <c r="K94" s="3">
        <v>-1.0999999999999999E-2</v>
      </c>
      <c r="L94" s="5">
        <v>-1.0999999999999999E-2</v>
      </c>
      <c r="N94" s="10"/>
      <c r="O94" s="10"/>
    </row>
    <row r="95" spans="1:23" x14ac:dyDescent="0.3">
      <c r="A95" s="15">
        <v>20</v>
      </c>
      <c r="B95" s="11">
        <v>-1.2999999999999999E-2</v>
      </c>
      <c r="C95" s="11">
        <v>-1.0999999999999999E-2</v>
      </c>
      <c r="D95" s="11">
        <v>-1.4999999999999999E-2</v>
      </c>
      <c r="E95" s="11">
        <v>-3.1E-2</v>
      </c>
      <c r="F95" s="11">
        <v>-2.3E-2</v>
      </c>
      <c r="G95" s="5">
        <v>-1.5333333333333332E-2</v>
      </c>
      <c r="H95" s="11">
        <v>-1.4E-2</v>
      </c>
      <c r="I95" s="3">
        <v>-1.2999999999999999E-2</v>
      </c>
      <c r="J95" s="5">
        <v>-1.2500000000000001E-2</v>
      </c>
      <c r="K95" s="3">
        <v>-1.2E-2</v>
      </c>
      <c r="L95" s="5">
        <v>-1.2E-2</v>
      </c>
      <c r="N95" s="10"/>
      <c r="O95" s="10"/>
    </row>
    <row r="96" spans="1:23" x14ac:dyDescent="0.3">
      <c r="A96" s="14" t="s">
        <v>29</v>
      </c>
      <c r="B96" s="14">
        <v>0.3</v>
      </c>
      <c r="C96" s="14">
        <v>0.5</v>
      </c>
      <c r="D96" s="14">
        <v>0.8</v>
      </c>
      <c r="E96" s="14">
        <v>1.2</v>
      </c>
      <c r="F96" s="14">
        <v>2</v>
      </c>
      <c r="G96" s="28">
        <v>3</v>
      </c>
      <c r="H96" s="14">
        <v>4</v>
      </c>
      <c r="I96" s="14">
        <v>6</v>
      </c>
      <c r="J96" s="28">
        <v>7</v>
      </c>
      <c r="K96" s="14">
        <v>8</v>
      </c>
      <c r="L96" s="14">
        <v>10</v>
      </c>
      <c r="N96" s="10"/>
      <c r="O96" s="10"/>
    </row>
    <row r="97" spans="1:27" x14ac:dyDescent="0.3">
      <c r="A97" s="15">
        <v>0</v>
      </c>
      <c r="B97" s="11">
        <v>0.17127000000000001</v>
      </c>
      <c r="C97" s="11">
        <v>0.1754</v>
      </c>
      <c r="D97" s="11">
        <v>0.21715999999999999</v>
      </c>
      <c r="E97" s="11">
        <v>0.41176000000000001</v>
      </c>
      <c r="F97" s="11">
        <v>0.29441000000000001</v>
      </c>
      <c r="G97" s="5">
        <v>0.21744661678873883</v>
      </c>
      <c r="H97" s="11">
        <v>0.16714999999999999</v>
      </c>
      <c r="I97" s="11">
        <v>0.13936000000000001</v>
      </c>
      <c r="J97" s="5">
        <v>0.13308500000000001</v>
      </c>
      <c r="K97" s="11">
        <v>0.12681000000000001</v>
      </c>
      <c r="L97" s="11">
        <v>0.11996999999999999</v>
      </c>
      <c r="N97" s="10"/>
      <c r="O97" s="10"/>
      <c r="P97" s="10"/>
      <c r="Q97" s="10"/>
      <c r="R97" s="10"/>
      <c r="S97" s="10"/>
      <c r="T97" s="10"/>
      <c r="U97" s="10"/>
      <c r="V97" s="10"/>
    </row>
    <row r="98" spans="1:27" x14ac:dyDescent="0.3">
      <c r="A98" s="15">
        <v>2</v>
      </c>
      <c r="B98" s="11">
        <v>0.17524000000000001</v>
      </c>
      <c r="C98" s="11">
        <v>0.17582999999999999</v>
      </c>
      <c r="D98" s="11">
        <v>0.21603</v>
      </c>
      <c r="E98" s="11">
        <v>0.41236</v>
      </c>
      <c r="F98" s="11">
        <v>0.29519000000000001</v>
      </c>
      <c r="G98" s="5">
        <v>0.22370678082387582</v>
      </c>
      <c r="H98" s="11">
        <v>0.16858999999999999</v>
      </c>
      <c r="I98" s="11">
        <v>0.14185</v>
      </c>
      <c r="J98" s="5">
        <v>0.13544</v>
      </c>
      <c r="K98" s="11">
        <v>0.12903000000000001</v>
      </c>
      <c r="L98" s="11">
        <v>0.12238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x14ac:dyDescent="0.3">
      <c r="A99" s="15">
        <v>4</v>
      </c>
      <c r="B99" s="11">
        <v>0.17468</v>
      </c>
      <c r="C99" s="11">
        <v>0.1734</v>
      </c>
      <c r="D99" s="11">
        <v>0.21138000000000001</v>
      </c>
      <c r="E99" s="11">
        <v>0.41191</v>
      </c>
      <c r="F99" s="11">
        <v>0.29644999999999999</v>
      </c>
      <c r="G99" s="5">
        <v>0.22652328393581178</v>
      </c>
      <c r="H99" s="11">
        <v>0.17263999999999999</v>
      </c>
      <c r="I99" s="11">
        <v>0.14652999999999999</v>
      </c>
      <c r="J99" s="5">
        <v>0.13993499999999998</v>
      </c>
      <c r="K99" s="11">
        <v>0.13333999999999999</v>
      </c>
      <c r="L99" s="11">
        <v>0.12678</v>
      </c>
      <c r="N99" s="10"/>
      <c r="O99" s="10"/>
      <c r="P99" s="10"/>
      <c r="Q99" s="10"/>
      <c r="R99" s="10"/>
      <c r="S99" s="10"/>
      <c r="T99" s="10"/>
      <c r="U99" s="10"/>
      <c r="V99" s="10"/>
    </row>
    <row r="100" spans="1:27" x14ac:dyDescent="0.3">
      <c r="A100" s="15">
        <v>8</v>
      </c>
      <c r="B100" s="11">
        <v>0.16239000000000001</v>
      </c>
      <c r="C100" s="11">
        <v>0.16019</v>
      </c>
      <c r="D100" s="11">
        <v>0.19425000000000001</v>
      </c>
      <c r="E100" s="11">
        <v>0.41015000000000001</v>
      </c>
      <c r="F100" s="11">
        <v>0.29603000000000002</v>
      </c>
      <c r="G100" s="5">
        <v>0.23249487875570352</v>
      </c>
      <c r="H100" s="11">
        <v>0.18615999999999999</v>
      </c>
      <c r="I100" s="11">
        <v>0.15841</v>
      </c>
      <c r="J100" s="5">
        <v>0.152285</v>
      </c>
      <c r="K100" s="11">
        <v>0.14616000000000001</v>
      </c>
      <c r="L100" s="11">
        <v>0.13980999999999999</v>
      </c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7" x14ac:dyDescent="0.3">
      <c r="A101" s="15">
        <v>12</v>
      </c>
      <c r="B101" s="11">
        <v>0.12464</v>
      </c>
      <c r="C101" s="11">
        <v>0.12482</v>
      </c>
      <c r="D101" s="11">
        <v>0.16733000000000001</v>
      </c>
      <c r="E101" s="11">
        <v>0.40383999999999998</v>
      </c>
      <c r="F101" s="11">
        <v>0.29297000000000001</v>
      </c>
      <c r="G101" s="5">
        <v>0.23980332500435825</v>
      </c>
      <c r="H101" s="11">
        <v>0.19813</v>
      </c>
      <c r="I101" s="11">
        <v>0.1734</v>
      </c>
      <c r="J101" s="5">
        <v>0.16827</v>
      </c>
      <c r="K101" s="11">
        <v>0.16314000000000001</v>
      </c>
      <c r="L101" s="11">
        <v>0.15806000000000001</v>
      </c>
      <c r="N101" s="10"/>
      <c r="O101" s="10"/>
    </row>
    <row r="102" spans="1:27" x14ac:dyDescent="0.3">
      <c r="A102" s="15">
        <v>16</v>
      </c>
      <c r="B102" s="11">
        <v>6.8089999999999998E-2</v>
      </c>
      <c r="C102" s="11">
        <v>8.6069999999999994E-2</v>
      </c>
      <c r="D102" s="11">
        <v>0.15175</v>
      </c>
      <c r="E102" s="11">
        <v>0.38584000000000002</v>
      </c>
      <c r="F102" s="11">
        <v>0.28925000000000001</v>
      </c>
      <c r="G102" s="5">
        <v>0.24502384615384615</v>
      </c>
      <c r="H102" s="11">
        <v>0.21288000000000001</v>
      </c>
      <c r="I102" s="11">
        <v>0.19527</v>
      </c>
      <c r="J102" s="5">
        <v>0.19078000000000001</v>
      </c>
      <c r="K102" s="11">
        <v>0.18629000000000001</v>
      </c>
      <c r="L102" s="11">
        <v>0.18157000000000001</v>
      </c>
      <c r="N102" s="10"/>
      <c r="O102" s="10"/>
    </row>
    <row r="103" spans="1:27" x14ac:dyDescent="0.3">
      <c r="A103" s="15">
        <v>20</v>
      </c>
      <c r="B103" s="11">
        <v>2.0639999999999999E-2</v>
      </c>
      <c r="C103" s="11">
        <v>6.0670000000000002E-2</v>
      </c>
      <c r="D103" s="11">
        <v>0.13642000000000001</v>
      </c>
      <c r="E103" s="11">
        <v>0.36234</v>
      </c>
      <c r="F103" s="11">
        <v>0.28988000000000003</v>
      </c>
      <c r="G103" s="5">
        <v>0.26099858308671875</v>
      </c>
      <c r="H103" s="11">
        <v>0.23760999999999999</v>
      </c>
      <c r="I103" s="11">
        <v>0.22295000000000001</v>
      </c>
      <c r="J103" s="5">
        <v>0.218945</v>
      </c>
      <c r="K103" s="11">
        <v>0.21493999999999999</v>
      </c>
      <c r="L103" s="11">
        <v>0.21051</v>
      </c>
      <c r="N103" s="10"/>
      <c r="O103" s="10"/>
    </row>
    <row r="104" spans="1:27" x14ac:dyDescent="0.3">
      <c r="A104" s="14" t="s">
        <v>30</v>
      </c>
      <c r="B104" s="14">
        <v>0.3</v>
      </c>
      <c r="C104" s="14">
        <v>0.5</v>
      </c>
      <c r="D104" s="14">
        <v>0.8</v>
      </c>
      <c r="E104" s="14">
        <v>1.2</v>
      </c>
      <c r="F104" s="14">
        <v>2</v>
      </c>
      <c r="G104" s="28">
        <v>3</v>
      </c>
      <c r="H104" s="14">
        <v>4</v>
      </c>
      <c r="I104" s="14">
        <v>6</v>
      </c>
      <c r="J104" s="28">
        <v>7</v>
      </c>
      <c r="K104" s="14">
        <v>8</v>
      </c>
      <c r="L104" s="14">
        <v>10</v>
      </c>
      <c r="N104" s="10"/>
      <c r="O104" s="10"/>
    </row>
    <row r="105" spans="1:27" x14ac:dyDescent="0.3">
      <c r="A105" s="15">
        <v>0</v>
      </c>
      <c r="B105" s="11">
        <v>0.17127000000000001</v>
      </c>
      <c r="C105" s="11">
        <v>0.1754</v>
      </c>
      <c r="D105" s="11">
        <v>0.21715999999999999</v>
      </c>
      <c r="E105" s="11">
        <v>0.41176000000000001</v>
      </c>
      <c r="F105" s="11">
        <v>0.29441000000000001</v>
      </c>
      <c r="G105" s="5">
        <v>0.21744661678873883</v>
      </c>
      <c r="H105" s="11">
        <v>0.16714999999999999</v>
      </c>
      <c r="I105" s="11">
        <v>0.13936000000000001</v>
      </c>
      <c r="J105" s="5">
        <v>0.13308500000000001</v>
      </c>
      <c r="K105" s="11">
        <v>0.12681000000000001</v>
      </c>
      <c r="L105" s="11">
        <v>0.11996999999999999</v>
      </c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7" x14ac:dyDescent="0.3">
      <c r="A106" s="15">
        <v>2</v>
      </c>
      <c r="B106" s="11">
        <v>0.17360999999999999</v>
      </c>
      <c r="C106" s="11">
        <v>0.17688000000000001</v>
      </c>
      <c r="D106" s="11">
        <v>0.21868000000000001</v>
      </c>
      <c r="E106" s="11">
        <v>0.41333999999999999</v>
      </c>
      <c r="F106" s="11">
        <v>0.29674</v>
      </c>
      <c r="G106" s="5">
        <v>0.22103694742566041</v>
      </c>
      <c r="H106" s="11">
        <v>0.16822999999999999</v>
      </c>
      <c r="I106" s="11">
        <v>0.14029</v>
      </c>
      <c r="J106" s="5">
        <v>0.13394499999999998</v>
      </c>
      <c r="K106" s="11">
        <v>0.12759999999999999</v>
      </c>
      <c r="L106" s="11">
        <v>0.12071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7" x14ac:dyDescent="0.3">
      <c r="A107" s="15">
        <v>4</v>
      </c>
      <c r="B107" s="11">
        <v>0.17813000000000001</v>
      </c>
      <c r="C107" s="11">
        <v>0.18118999999999999</v>
      </c>
      <c r="D107" s="11">
        <v>0.22513</v>
      </c>
      <c r="E107" s="11">
        <v>0.42324000000000001</v>
      </c>
      <c r="F107" s="11">
        <v>0.30470000000000003</v>
      </c>
      <c r="G107" s="5">
        <v>0.22553282114320838</v>
      </c>
      <c r="H107" s="11">
        <v>0.14387</v>
      </c>
      <c r="I107" s="11">
        <v>0.17227999999999999</v>
      </c>
      <c r="J107" s="5">
        <v>0.15174499999999999</v>
      </c>
      <c r="K107" s="11">
        <v>0.13120999999999999</v>
      </c>
      <c r="L107" s="11">
        <v>0.12421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7" x14ac:dyDescent="0.3">
      <c r="A108" s="15">
        <v>8</v>
      </c>
      <c r="B108" s="11">
        <v>0.19782</v>
      </c>
      <c r="C108" s="11">
        <v>0.20052</v>
      </c>
      <c r="D108" s="11">
        <v>0.251</v>
      </c>
      <c r="E108" s="11">
        <v>0.45834000000000003</v>
      </c>
      <c r="F108" s="11">
        <v>0.32734000000000002</v>
      </c>
      <c r="G108" s="5">
        <v>0.2420279080495924</v>
      </c>
      <c r="H108" s="11">
        <v>0.18761</v>
      </c>
      <c r="I108" s="11">
        <v>0.15756000000000001</v>
      </c>
      <c r="J108" s="5">
        <v>0.15089</v>
      </c>
      <c r="K108" s="11">
        <v>0.14421999999999999</v>
      </c>
      <c r="L108" s="11">
        <v>0.13675999999999999</v>
      </c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7" x14ac:dyDescent="0.3">
      <c r="A109" s="15">
        <v>12</v>
      </c>
      <c r="B109" s="11">
        <v>0.23074</v>
      </c>
      <c r="C109" s="11">
        <v>0.23763000000000001</v>
      </c>
      <c r="D109" s="11">
        <v>0.30351</v>
      </c>
      <c r="E109" s="11">
        <v>0.51400999999999997</v>
      </c>
      <c r="F109" s="11">
        <v>0.36610999999999999</v>
      </c>
      <c r="G109" s="5">
        <v>0.26972648084439144</v>
      </c>
      <c r="H109" s="11">
        <v>0.21496000000000001</v>
      </c>
      <c r="I109" s="11">
        <v>0.18264</v>
      </c>
      <c r="J109" s="5">
        <v>0.17585000000000001</v>
      </c>
      <c r="K109" s="11">
        <v>0.16905999999999999</v>
      </c>
      <c r="L109" s="11">
        <v>0.16120000000000001</v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7" x14ac:dyDescent="0.3">
      <c r="A110" s="15">
        <v>16</v>
      </c>
      <c r="B110" s="11">
        <v>0.27065</v>
      </c>
      <c r="C110" s="11">
        <v>0.29432999999999998</v>
      </c>
      <c r="D110" s="11">
        <v>0.38069999999999998</v>
      </c>
      <c r="E110" s="11">
        <v>0.58462000000000003</v>
      </c>
      <c r="F110" s="11">
        <v>0.41924</v>
      </c>
      <c r="G110" s="5">
        <v>0.31382993016379002</v>
      </c>
      <c r="H110" s="11">
        <v>0.25568000000000002</v>
      </c>
      <c r="I110" s="11">
        <v>0.22183</v>
      </c>
      <c r="J110" s="5">
        <v>0.215145</v>
      </c>
      <c r="K110" s="11">
        <v>0.20846000000000001</v>
      </c>
      <c r="L110" s="11">
        <v>0.20039000000000001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7" x14ac:dyDescent="0.3">
      <c r="A111" s="15">
        <v>20</v>
      </c>
      <c r="B111" s="11">
        <v>0.33745999999999998</v>
      </c>
      <c r="C111" s="11">
        <v>0.36947999999999998</v>
      </c>
      <c r="D111" s="11">
        <v>0.46555000000000002</v>
      </c>
      <c r="E111" s="11">
        <v>0.66988000000000003</v>
      </c>
      <c r="F111" s="11">
        <v>0.48522999999999999</v>
      </c>
      <c r="G111" s="5">
        <v>0.36726087026858101</v>
      </c>
      <c r="H111" s="11">
        <v>0.30947000000000002</v>
      </c>
      <c r="I111" s="11">
        <v>0.27599000000000001</v>
      </c>
      <c r="J111" s="5">
        <v>0.26992499999999997</v>
      </c>
      <c r="K111" s="11">
        <v>0.26385999999999998</v>
      </c>
      <c r="L111" s="11">
        <v>0.25573000000000001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7" x14ac:dyDescent="0.3">
      <c r="A112" s="14" t="s">
        <v>53</v>
      </c>
      <c r="B112" s="14">
        <v>0.3</v>
      </c>
      <c r="C112" s="14">
        <v>0.5</v>
      </c>
      <c r="D112" s="14">
        <v>0.8</v>
      </c>
      <c r="E112" s="14">
        <v>1.2</v>
      </c>
      <c r="F112" s="14">
        <v>2</v>
      </c>
      <c r="G112" s="28">
        <v>3</v>
      </c>
      <c r="H112" s="14">
        <v>4</v>
      </c>
      <c r="I112" s="14">
        <v>6</v>
      </c>
      <c r="J112" s="28">
        <v>7</v>
      </c>
      <c r="K112" s="14">
        <v>8</v>
      </c>
      <c r="L112" s="14">
        <v>10</v>
      </c>
      <c r="N112" s="10"/>
      <c r="O112" s="10"/>
    </row>
    <row r="113" spans="1:15" x14ac:dyDescent="0.3">
      <c r="A113" s="15">
        <v>0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4" t="e">
        <v>#DIV/0!</v>
      </c>
      <c r="H113" s="17">
        <v>0</v>
      </c>
      <c r="I113" s="17">
        <v>0</v>
      </c>
      <c r="J113" s="4">
        <v>0</v>
      </c>
      <c r="K113" s="17">
        <v>0</v>
      </c>
      <c r="L113" s="17">
        <v>1.0000000000000001E-5</v>
      </c>
      <c r="N113" s="10"/>
      <c r="O113" s="10"/>
    </row>
    <row r="114" spans="1:15" x14ac:dyDescent="0.3">
      <c r="A114" s="15">
        <v>2</v>
      </c>
      <c r="B114" s="17">
        <v>1.3699999999999999E-3</v>
      </c>
      <c r="C114" s="17">
        <v>1.4E-3</v>
      </c>
      <c r="D114" s="17">
        <v>1.32E-3</v>
      </c>
      <c r="E114" s="17">
        <v>8.8000000000000003E-4</v>
      </c>
      <c r="F114" s="17">
        <v>4.0999999999999999E-4</v>
      </c>
      <c r="G114" s="4">
        <v>3.8071428571428571E-4</v>
      </c>
      <c r="H114" s="17">
        <v>2.2000000000000001E-4</v>
      </c>
      <c r="I114" s="17">
        <v>1.9000000000000001E-4</v>
      </c>
      <c r="J114" s="4">
        <v>1.7500000000000003E-4</v>
      </c>
      <c r="K114" s="17">
        <v>1.6000000000000001E-4</v>
      </c>
      <c r="L114" s="17">
        <v>1.4999999999999999E-4</v>
      </c>
      <c r="N114" s="10"/>
      <c r="O114" s="10"/>
    </row>
    <row r="115" spans="1:15" x14ac:dyDescent="0.3">
      <c r="A115" s="15">
        <v>4</v>
      </c>
      <c r="B115" s="17">
        <v>2.7699999999999999E-3</v>
      </c>
      <c r="C115" s="17">
        <v>2.8400000000000001E-3</v>
      </c>
      <c r="D115" s="17">
        <v>2.7000000000000001E-3</v>
      </c>
      <c r="E115" s="17">
        <v>1.8E-3</v>
      </c>
      <c r="F115" s="17">
        <v>8.0000000000000004E-4</v>
      </c>
      <c r="G115" s="4">
        <v>6.8148148148148148E-4</v>
      </c>
      <c r="H115" s="17">
        <v>4.2000000000000002E-4</v>
      </c>
      <c r="I115" s="17">
        <v>3.6000000000000002E-4</v>
      </c>
      <c r="J115" s="4">
        <v>3.1999999999999997E-4</v>
      </c>
      <c r="K115" s="17">
        <v>2.7999999999999998E-4</v>
      </c>
      <c r="L115" s="17">
        <v>2.2000000000000001E-4</v>
      </c>
      <c r="N115" s="10"/>
      <c r="O115" s="10"/>
    </row>
    <row r="116" spans="1:15" x14ac:dyDescent="0.3">
      <c r="A116" s="15">
        <v>8</v>
      </c>
      <c r="B116" s="17">
        <v>5.5900000000000004E-3</v>
      </c>
      <c r="C116" s="17">
        <v>5.7499999999999999E-3</v>
      </c>
      <c r="D116" s="17">
        <v>5.5199999999999997E-3</v>
      </c>
      <c r="E116" s="17">
        <v>3.4199999999999999E-3</v>
      </c>
      <c r="F116" s="17">
        <v>1.49E-3</v>
      </c>
      <c r="G116" s="4">
        <v>1.3513953488372094E-3</v>
      </c>
      <c r="H116" s="17">
        <v>7.3999999999999999E-4</v>
      </c>
      <c r="I116" s="17">
        <v>5.9000000000000003E-4</v>
      </c>
      <c r="J116" s="4">
        <v>5.3499999999999999E-4</v>
      </c>
      <c r="K116" s="17">
        <v>4.8000000000000001E-4</v>
      </c>
      <c r="L116" s="17">
        <v>3.3E-4</v>
      </c>
      <c r="N116" s="10"/>
      <c r="O116" s="10"/>
    </row>
    <row r="117" spans="1:15" x14ac:dyDescent="0.3">
      <c r="A117" s="15">
        <v>12</v>
      </c>
      <c r="B117" s="17">
        <v>8.3000000000000001E-3</v>
      </c>
      <c r="C117" s="17">
        <v>8.6300000000000005E-3</v>
      </c>
      <c r="D117" s="17">
        <v>7.9299999999999995E-3</v>
      </c>
      <c r="E117" s="17">
        <v>4.4999999999999997E-3</v>
      </c>
      <c r="F117" s="17">
        <v>1.97E-3</v>
      </c>
      <c r="G117" s="4">
        <v>1.97E-3</v>
      </c>
      <c r="H117" s="17">
        <v>8.1999999999999998E-4</v>
      </c>
      <c r="I117" s="17">
        <v>5.6999999999999998E-4</v>
      </c>
      <c r="J117" s="4">
        <v>4.95E-4</v>
      </c>
      <c r="K117" s="17">
        <v>4.2000000000000002E-4</v>
      </c>
      <c r="L117" s="17">
        <v>2.5999999999999998E-4</v>
      </c>
      <c r="N117" s="10"/>
      <c r="O117" s="10"/>
    </row>
    <row r="118" spans="1:15" x14ac:dyDescent="0.3">
      <c r="A118" s="15">
        <v>16</v>
      </c>
      <c r="B118" s="17">
        <v>1.081E-2</v>
      </c>
      <c r="C118" s="17">
        <v>1.125E-2</v>
      </c>
      <c r="D118" s="17">
        <v>1.0059999999999999E-2</v>
      </c>
      <c r="E118" s="17">
        <v>5.1599999999999997E-3</v>
      </c>
      <c r="F118" s="17">
        <v>2.0500000000000002E-3</v>
      </c>
      <c r="G118" s="4">
        <v>2.6357142857142859E-3</v>
      </c>
      <c r="H118" s="17">
        <v>7.3999999999999999E-4</v>
      </c>
      <c r="I118" s="17">
        <v>4.8000000000000001E-4</v>
      </c>
      <c r="J118" s="4">
        <v>4.0999999999999999E-4</v>
      </c>
      <c r="K118" s="17">
        <v>3.4000000000000002E-4</v>
      </c>
      <c r="L118" s="17">
        <v>2.1000000000000001E-4</v>
      </c>
      <c r="N118" s="10"/>
      <c r="O118" s="10"/>
    </row>
    <row r="119" spans="1:15" x14ac:dyDescent="0.3">
      <c r="A119" s="15">
        <v>20</v>
      </c>
      <c r="B119" s="17">
        <v>1.291E-2</v>
      </c>
      <c r="C119" s="17">
        <v>1.3979999999999999E-2</v>
      </c>
      <c r="D119" s="17">
        <v>1.1860000000000001E-2</v>
      </c>
      <c r="E119" s="17">
        <v>5.4599999999999996E-3</v>
      </c>
      <c r="F119" s="17">
        <v>8.4999999999999995E-4</v>
      </c>
      <c r="G119" s="4">
        <v>1.8279569892473119E-5</v>
      </c>
      <c r="H119" s="17">
        <v>6.8000000000000005E-4</v>
      </c>
      <c r="I119" s="17">
        <v>4.2999999999999999E-4</v>
      </c>
      <c r="J119" s="4">
        <v>3.5999999999999997E-4</v>
      </c>
      <c r="K119" s="17">
        <v>2.9E-4</v>
      </c>
      <c r="L119" s="17">
        <v>2.1000000000000001E-4</v>
      </c>
      <c r="N119" s="10"/>
      <c r="O119" s="10"/>
    </row>
    <row r="120" spans="1:15" x14ac:dyDescent="0.3">
      <c r="A120" s="14" t="s">
        <v>54</v>
      </c>
      <c r="B120" s="14">
        <v>0.3</v>
      </c>
      <c r="C120" s="14">
        <v>0.5</v>
      </c>
      <c r="D120" s="14">
        <v>0.8</v>
      </c>
      <c r="E120" s="14">
        <v>1.2</v>
      </c>
      <c r="F120" s="14">
        <v>2</v>
      </c>
      <c r="G120" s="28">
        <v>3</v>
      </c>
      <c r="H120" s="14">
        <v>4</v>
      </c>
      <c r="I120" s="14">
        <v>6</v>
      </c>
      <c r="J120" s="28">
        <v>7</v>
      </c>
      <c r="K120" s="14">
        <v>8</v>
      </c>
      <c r="L120" s="14">
        <v>10</v>
      </c>
      <c r="N120" s="10"/>
      <c r="O120" s="10"/>
    </row>
    <row r="121" spans="1:15" x14ac:dyDescent="0.3">
      <c r="A121" s="15">
        <v>0</v>
      </c>
      <c r="B121" s="4">
        <v>1.0000000000000001E-5</v>
      </c>
      <c r="C121" s="4">
        <v>1.0000000000000001E-5</v>
      </c>
      <c r="D121" s="4">
        <v>1.0000000000000001E-5</v>
      </c>
      <c r="E121" s="4">
        <v>1.0000000000000001E-5</v>
      </c>
      <c r="F121" s="4">
        <v>1.0000000000000001E-5</v>
      </c>
      <c r="G121" s="4">
        <v>5.0000000000000004E-6</v>
      </c>
      <c r="H121" s="4">
        <v>0</v>
      </c>
      <c r="I121" s="4">
        <v>1.0000000000000001E-5</v>
      </c>
      <c r="J121" s="4">
        <v>5.0000000000000004E-6</v>
      </c>
      <c r="K121" s="4">
        <v>0</v>
      </c>
      <c r="L121" s="4">
        <v>0</v>
      </c>
      <c r="N121" s="10"/>
      <c r="O121" s="10"/>
    </row>
    <row r="122" spans="1:15" x14ac:dyDescent="0.3">
      <c r="A122" s="15">
        <v>2</v>
      </c>
      <c r="B122" s="4">
        <v>-2.7200000000000002E-3</v>
      </c>
      <c r="C122" s="4">
        <v>-2.8400000000000001E-3</v>
      </c>
      <c r="D122" s="4">
        <v>-3.3700000000000002E-3</v>
      </c>
      <c r="E122" s="4">
        <v>-3.2799999999999999E-3</v>
      </c>
      <c r="F122" s="4">
        <v>-2.2100000000000002E-3</v>
      </c>
      <c r="G122" s="4">
        <v>-1.4377323420074351E-3</v>
      </c>
      <c r="H122" s="4">
        <v>-1.06E-3</v>
      </c>
      <c r="I122" s="4">
        <v>-7.6999999999999996E-4</v>
      </c>
      <c r="J122" s="4">
        <v>-7.1499999999999992E-4</v>
      </c>
      <c r="K122" s="4">
        <v>-6.6E-4</v>
      </c>
      <c r="L122" s="4">
        <v>-6.0999999999999997E-4</v>
      </c>
      <c r="N122" s="10"/>
      <c r="O122" s="10"/>
    </row>
    <row r="123" spans="1:15" x14ac:dyDescent="0.3">
      <c r="A123" s="15">
        <v>4</v>
      </c>
      <c r="B123" s="4">
        <v>-5.4200000000000003E-3</v>
      </c>
      <c r="C123" s="4">
        <v>-5.6699999999999997E-3</v>
      </c>
      <c r="D123" s="4">
        <v>-6.8100000000000001E-3</v>
      </c>
      <c r="E123" s="4">
        <v>-6.6E-3</v>
      </c>
      <c r="F123" s="4">
        <v>-4.3899999999999998E-3</v>
      </c>
      <c r="G123" s="4">
        <v>-2.849793621013133E-3</v>
      </c>
      <c r="H123" s="4">
        <v>-2.0799999999999998E-3</v>
      </c>
      <c r="I123" s="4">
        <v>-1.49E-3</v>
      </c>
      <c r="J123" s="4">
        <v>-1.3800000000000002E-3</v>
      </c>
      <c r="K123" s="4">
        <v>-1.2700000000000001E-3</v>
      </c>
      <c r="L123" s="4">
        <v>-1.1800000000000001E-3</v>
      </c>
      <c r="N123" s="10"/>
      <c r="O123" s="10"/>
    </row>
    <row r="124" spans="1:15" x14ac:dyDescent="0.3">
      <c r="A124" s="15">
        <v>8</v>
      </c>
      <c r="B124" s="4">
        <v>-1.0710000000000001E-2</v>
      </c>
      <c r="C124" s="4">
        <v>-1.1220000000000001E-2</v>
      </c>
      <c r="D124" s="4">
        <v>-1.391E-2</v>
      </c>
      <c r="E124" s="4">
        <v>-1.325E-2</v>
      </c>
      <c r="F124" s="4">
        <v>-8.4600000000000005E-3</v>
      </c>
      <c r="G124" s="4">
        <v>-5.5531472569778631E-3</v>
      </c>
      <c r="H124" s="4">
        <v>-4.0600000000000002E-3</v>
      </c>
      <c r="I124" s="4">
        <v>-2.8700000000000002E-3</v>
      </c>
      <c r="J124" s="4">
        <v>-2.6449999999999998E-3</v>
      </c>
      <c r="K124" s="4">
        <v>-2.4199999999999998E-3</v>
      </c>
      <c r="L124" s="4">
        <v>-2.2499999999999998E-3</v>
      </c>
      <c r="N124" s="10"/>
      <c r="O124" s="10"/>
    </row>
    <row r="125" spans="1:15" x14ac:dyDescent="0.3">
      <c r="A125" s="15">
        <v>12</v>
      </c>
      <c r="B125" s="4">
        <v>-1.5640000000000001E-2</v>
      </c>
      <c r="C125" s="4">
        <v>-1.6369999999999999E-2</v>
      </c>
      <c r="D125" s="4">
        <v>-2.129E-2</v>
      </c>
      <c r="E125" s="4">
        <v>-1.932E-2</v>
      </c>
      <c r="F125" s="4">
        <v>-1.1950000000000001E-2</v>
      </c>
      <c r="G125" s="4">
        <v>-7.8364576384256177E-3</v>
      </c>
      <c r="H125" s="4">
        <v>-5.64E-3</v>
      </c>
      <c r="I125" s="4">
        <v>-3.8500000000000001E-3</v>
      </c>
      <c r="J125" s="4">
        <v>-3.5349999999999999E-3</v>
      </c>
      <c r="K125" s="4">
        <v>-3.2200000000000002E-3</v>
      </c>
      <c r="L125" s="4">
        <v>-2.96E-3</v>
      </c>
      <c r="N125" s="10"/>
      <c r="O125" s="10"/>
    </row>
    <row r="126" spans="1:15" x14ac:dyDescent="0.3">
      <c r="A126" s="15">
        <v>16</v>
      </c>
      <c r="B126" s="4">
        <v>-2.002E-2</v>
      </c>
      <c r="C126" s="4">
        <v>-2.0889999999999999E-2</v>
      </c>
      <c r="D126" s="4">
        <v>-2.479E-2</v>
      </c>
      <c r="E126" s="4">
        <v>-2.3779999999999999E-2</v>
      </c>
      <c r="F126" s="4">
        <v>-1.46E-2</v>
      </c>
      <c r="G126" s="4">
        <v>-9.181760674749604E-3</v>
      </c>
      <c r="H126" s="4">
        <v>-6.5500000000000003E-3</v>
      </c>
      <c r="I126" s="4">
        <v>-4.4099999999999999E-3</v>
      </c>
      <c r="J126" s="4">
        <v>-4.0049999999999999E-3</v>
      </c>
      <c r="K126" s="4">
        <v>-3.5999999999999999E-3</v>
      </c>
      <c r="L126" s="4">
        <v>-3.2399999999999998E-3</v>
      </c>
      <c r="N126" s="10"/>
      <c r="O126" s="10"/>
    </row>
    <row r="127" spans="1:15" x14ac:dyDescent="0.3">
      <c r="A127" s="15">
        <v>20</v>
      </c>
      <c r="B127" s="4">
        <v>-2.4049999999999998E-2</v>
      </c>
      <c r="C127" s="4">
        <v>-2.4500000000000001E-2</v>
      </c>
      <c r="D127" s="4">
        <v>-2.7300000000000001E-2</v>
      </c>
      <c r="E127" s="4">
        <v>-2.6239999999999999E-2</v>
      </c>
      <c r="F127" s="4">
        <v>-1.512E-2</v>
      </c>
      <c r="G127" s="4">
        <v>-9.3870599429115124E-3</v>
      </c>
      <c r="H127" s="4">
        <v>-7.0600000000000003E-3</v>
      </c>
      <c r="I127" s="4">
        <v>-4.9199999999999999E-3</v>
      </c>
      <c r="J127" s="4">
        <v>-4.4650000000000002E-3</v>
      </c>
      <c r="K127" s="4">
        <v>-4.0099999999999997E-3</v>
      </c>
      <c r="L127" s="4">
        <v>-3.5699999999999998E-3</v>
      </c>
      <c r="N127" s="10"/>
      <c r="O127" s="10"/>
    </row>
    <row r="128" spans="1:15" x14ac:dyDescent="0.3">
      <c r="A128" s="14" t="s">
        <v>55</v>
      </c>
      <c r="B128" s="14">
        <v>0.3</v>
      </c>
      <c r="C128" s="14">
        <v>0.5</v>
      </c>
      <c r="D128" s="14">
        <v>0.8</v>
      </c>
      <c r="E128" s="14">
        <v>1.2</v>
      </c>
      <c r="F128" s="14">
        <v>2</v>
      </c>
      <c r="G128" s="28">
        <v>3</v>
      </c>
      <c r="H128" s="14">
        <v>4</v>
      </c>
      <c r="I128" s="14">
        <v>6</v>
      </c>
      <c r="J128" s="28">
        <v>7</v>
      </c>
      <c r="K128" s="14">
        <v>8</v>
      </c>
      <c r="L128" s="14">
        <v>10</v>
      </c>
      <c r="N128" s="10"/>
      <c r="O128" s="10"/>
    </row>
    <row r="129" spans="1:15" x14ac:dyDescent="0.3">
      <c r="A129" s="15">
        <v>0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4">
        <v>0</v>
      </c>
      <c r="H129" s="17">
        <v>0</v>
      </c>
      <c r="I129" s="17">
        <v>0</v>
      </c>
      <c r="J129" s="4">
        <v>0</v>
      </c>
      <c r="K129" s="17">
        <v>0</v>
      </c>
      <c r="L129" s="17">
        <v>1.0000000000000001E-5</v>
      </c>
      <c r="N129" s="10"/>
      <c r="O129" s="10"/>
    </row>
    <row r="130" spans="1:15" x14ac:dyDescent="0.3">
      <c r="A130" s="15">
        <v>2</v>
      </c>
      <c r="B130" s="17">
        <v>1.2199999999999999E-3</v>
      </c>
      <c r="C130" s="17">
        <v>1.25E-3</v>
      </c>
      <c r="D130" s="17">
        <v>1.14E-3</v>
      </c>
      <c r="E130" s="17">
        <v>6.8999999999999997E-4</v>
      </c>
      <c r="F130" s="17">
        <v>3.5E-4</v>
      </c>
      <c r="G130" s="4">
        <v>2.4499999999999999E-4</v>
      </c>
      <c r="H130" s="17">
        <v>2.0000000000000001E-4</v>
      </c>
      <c r="I130" s="17">
        <v>2.0000000000000001E-4</v>
      </c>
      <c r="J130" s="4">
        <v>2.0000000000000001E-4</v>
      </c>
      <c r="K130" s="17">
        <v>2.0000000000000001E-4</v>
      </c>
      <c r="L130" s="17">
        <v>2.1000000000000001E-4</v>
      </c>
      <c r="N130" s="10"/>
      <c r="O130" s="10"/>
    </row>
    <row r="131" spans="1:15" x14ac:dyDescent="0.3">
      <c r="A131" s="15">
        <v>4</v>
      </c>
      <c r="B131" s="17">
        <v>2.47E-3</v>
      </c>
      <c r="C131" s="17">
        <v>2.5300000000000001E-3</v>
      </c>
      <c r="D131" s="17">
        <v>2.3500000000000001E-3</v>
      </c>
      <c r="E131" s="17">
        <v>1.3799999999999999E-3</v>
      </c>
      <c r="F131" s="17">
        <v>6.8000000000000005E-4</v>
      </c>
      <c r="G131" s="4">
        <v>5.0999999999999993E-4</v>
      </c>
      <c r="H131" s="17">
        <v>3.8999999999999999E-4</v>
      </c>
      <c r="I131" s="17">
        <v>3.8999999999999999E-4</v>
      </c>
      <c r="J131" s="4">
        <v>3.9500000000000001E-4</v>
      </c>
      <c r="K131" s="17">
        <v>4.0000000000000002E-4</v>
      </c>
      <c r="L131" s="17">
        <v>4.2000000000000002E-4</v>
      </c>
      <c r="N131" s="10"/>
      <c r="O131" s="10"/>
    </row>
    <row r="132" spans="1:15" x14ac:dyDescent="0.3">
      <c r="A132" s="15">
        <v>8</v>
      </c>
      <c r="B132" s="17">
        <v>4.9800000000000001E-3</v>
      </c>
      <c r="C132" s="17">
        <v>5.1200000000000004E-3</v>
      </c>
      <c r="D132" s="17">
        <v>4.8799999999999998E-3</v>
      </c>
      <c r="E132" s="17">
        <v>2.6199999999999999E-3</v>
      </c>
      <c r="F132" s="17">
        <v>1.32E-3</v>
      </c>
      <c r="G132" s="4">
        <v>1.1314285714285714E-3</v>
      </c>
      <c r="H132" s="17">
        <v>7.7999999999999999E-4</v>
      </c>
      <c r="I132" s="17">
        <v>7.9000000000000001E-4</v>
      </c>
      <c r="J132" s="4">
        <v>7.9999999999999993E-4</v>
      </c>
      <c r="K132" s="17">
        <v>8.0999999999999996E-4</v>
      </c>
      <c r="L132" s="17">
        <v>8.4000000000000003E-4</v>
      </c>
      <c r="N132" s="10"/>
      <c r="O132" s="10"/>
    </row>
    <row r="133" spans="1:15" x14ac:dyDescent="0.3">
      <c r="A133" s="15">
        <v>12</v>
      </c>
      <c r="B133" s="17">
        <v>7.4599999999999996E-3</v>
      </c>
      <c r="C133" s="17">
        <v>7.7499999999999999E-3</v>
      </c>
      <c r="D133" s="17">
        <v>7.26E-3</v>
      </c>
      <c r="E133" s="17">
        <v>3.5100000000000001E-3</v>
      </c>
      <c r="F133" s="17">
        <v>1.98E-3</v>
      </c>
      <c r="G133" s="4">
        <v>2.1641860465116277E-3</v>
      </c>
      <c r="H133" s="17">
        <v>1.2199999999999999E-3</v>
      </c>
      <c r="I133" s="17">
        <v>1.1999999999999999E-3</v>
      </c>
      <c r="J133" s="4">
        <v>1.2149999999999999E-3</v>
      </c>
      <c r="K133" s="17">
        <v>1.23E-3</v>
      </c>
      <c r="L133" s="17">
        <v>1.24E-3</v>
      </c>
      <c r="N133" s="10"/>
      <c r="O133" s="10"/>
    </row>
    <row r="134" spans="1:15" x14ac:dyDescent="0.3">
      <c r="A134" s="15">
        <v>16</v>
      </c>
      <c r="B134" s="17">
        <v>9.8600000000000007E-3</v>
      </c>
      <c r="C134" s="17">
        <v>1.026E-2</v>
      </c>
      <c r="D134" s="17">
        <v>9.2399999999999999E-3</v>
      </c>
      <c r="E134" s="17">
        <v>4.2199999999999998E-3</v>
      </c>
      <c r="F134" s="17">
        <v>2.5100000000000001E-3</v>
      </c>
      <c r="G134" s="4">
        <v>4.0404878048780494E-3</v>
      </c>
      <c r="H134" s="17">
        <v>1.6999999999999999E-3</v>
      </c>
      <c r="I134" s="17">
        <v>1.64E-3</v>
      </c>
      <c r="J134" s="4">
        <v>1.65E-3</v>
      </c>
      <c r="K134" s="17">
        <v>1.66E-3</v>
      </c>
      <c r="L134" s="17">
        <v>1.6800000000000001E-3</v>
      </c>
      <c r="N134" s="10"/>
      <c r="O134" s="10"/>
    </row>
    <row r="135" spans="1:15" x14ac:dyDescent="0.3">
      <c r="A135" s="15">
        <v>20</v>
      </c>
      <c r="B135" s="17">
        <v>1.204E-2</v>
      </c>
      <c r="C135" s="17">
        <v>1.2930000000000001E-2</v>
      </c>
      <c r="D135" s="17">
        <v>1.116E-2</v>
      </c>
      <c r="E135" s="17">
        <v>4.9199999999999999E-3</v>
      </c>
      <c r="F135" s="17">
        <v>2.98E-3</v>
      </c>
      <c r="G135" s="4">
        <v>7.1339393939393939E-3</v>
      </c>
      <c r="H135" s="17">
        <v>2.2499999999999998E-3</v>
      </c>
      <c r="I135" s="17">
        <v>2.14E-3</v>
      </c>
      <c r="J135" s="4">
        <v>2.1450000000000002E-3</v>
      </c>
      <c r="K135" s="17">
        <v>2.15E-3</v>
      </c>
      <c r="L135" s="17">
        <v>2.1700000000000001E-3</v>
      </c>
      <c r="N135" s="10"/>
      <c r="O135" s="10"/>
    </row>
    <row r="136" spans="1:15" x14ac:dyDescent="0.3">
      <c r="A136" s="14" t="s">
        <v>56</v>
      </c>
      <c r="B136" s="14">
        <v>0.3</v>
      </c>
      <c r="C136" s="14">
        <v>0.5</v>
      </c>
      <c r="D136" s="14">
        <v>0.8</v>
      </c>
      <c r="E136" s="14">
        <v>1.2</v>
      </c>
      <c r="F136" s="14">
        <v>2</v>
      </c>
      <c r="G136" s="28">
        <v>3</v>
      </c>
      <c r="H136" s="14">
        <v>4</v>
      </c>
      <c r="I136" s="14">
        <v>6</v>
      </c>
      <c r="J136" s="28">
        <v>7</v>
      </c>
      <c r="K136" s="14">
        <v>8</v>
      </c>
      <c r="L136" s="14">
        <v>10</v>
      </c>
      <c r="N136" s="10"/>
      <c r="O136" s="10"/>
    </row>
    <row r="137" spans="1:15" x14ac:dyDescent="0.3">
      <c r="A137" s="15">
        <v>0</v>
      </c>
      <c r="B137" s="4">
        <v>1.0000000000000001E-5</v>
      </c>
      <c r="C137" s="4">
        <v>1.0000000000000001E-5</v>
      </c>
      <c r="D137" s="4">
        <v>1.0000000000000001E-5</v>
      </c>
      <c r="E137" s="4">
        <v>1.0000000000000001E-5</v>
      </c>
      <c r="F137" s="4">
        <v>1.0000000000000001E-5</v>
      </c>
      <c r="G137" s="4">
        <v>5.0000000000000004E-6</v>
      </c>
      <c r="H137" s="4">
        <v>0</v>
      </c>
      <c r="I137" s="4">
        <v>1.0000000000000001E-5</v>
      </c>
      <c r="J137" s="4">
        <v>5.0000000000000004E-6</v>
      </c>
      <c r="K137" s="4">
        <v>0</v>
      </c>
      <c r="L137" s="4">
        <v>0</v>
      </c>
      <c r="N137" s="10"/>
      <c r="O137" s="10"/>
    </row>
    <row r="138" spans="1:15" x14ac:dyDescent="0.3">
      <c r="A138" s="15">
        <v>2</v>
      </c>
      <c r="B138" s="4">
        <v>-2.6900000000000001E-3</v>
      </c>
      <c r="C138" s="4">
        <v>-2.8E-3</v>
      </c>
      <c r="D138" s="4">
        <v>-3.31E-3</v>
      </c>
      <c r="E138" s="4">
        <v>-2.9099999999999998E-3</v>
      </c>
      <c r="F138" s="4">
        <v>-2.2499999999999998E-3</v>
      </c>
      <c r="G138" s="4">
        <v>-1.589160839160839E-3</v>
      </c>
      <c r="H138" s="4">
        <v>-1.31E-3</v>
      </c>
      <c r="I138" s="4">
        <v>-1.14E-3</v>
      </c>
      <c r="J138" s="4">
        <v>-1.08E-3</v>
      </c>
      <c r="K138" s="4">
        <v>-1.0200000000000001E-3</v>
      </c>
      <c r="L138" s="4">
        <v>-9.7999999999999997E-4</v>
      </c>
      <c r="N138" s="10"/>
      <c r="O138" s="10"/>
    </row>
    <row r="139" spans="1:15" x14ac:dyDescent="0.3">
      <c r="A139" s="15">
        <v>4</v>
      </c>
      <c r="B139" s="4">
        <v>-5.4099999999999999E-3</v>
      </c>
      <c r="C139" s="4">
        <v>-5.6499999999999996E-3</v>
      </c>
      <c r="D139" s="4">
        <v>-6.7400000000000003E-3</v>
      </c>
      <c r="E139" s="4">
        <v>-5.96E-3</v>
      </c>
      <c r="F139" s="4">
        <v>-4.5100000000000001E-3</v>
      </c>
      <c r="G139" s="4">
        <v>-3.2383537653239937E-3</v>
      </c>
      <c r="H139" s="4">
        <v>-2.2100000000000002E-3</v>
      </c>
      <c r="I139" s="4">
        <v>-2.66E-3</v>
      </c>
      <c r="J139" s="4">
        <v>-2.4099999999999998E-3</v>
      </c>
      <c r="K139" s="4">
        <v>-2.16E-3</v>
      </c>
      <c r="L139" s="4">
        <v>-2.0699999999999998E-3</v>
      </c>
      <c r="N139" s="10"/>
      <c r="O139" s="10"/>
    </row>
    <row r="140" spans="1:15" x14ac:dyDescent="0.3">
      <c r="A140" s="15">
        <v>8</v>
      </c>
      <c r="B140" s="4">
        <v>-1.098E-2</v>
      </c>
      <c r="C140" s="4">
        <v>-1.15E-2</v>
      </c>
      <c r="D140" s="4">
        <v>-1.4019999999999999E-2</v>
      </c>
      <c r="E140" s="4">
        <v>-1.2500000000000001E-2</v>
      </c>
      <c r="F140" s="4">
        <v>-8.9599999999999992E-3</v>
      </c>
      <c r="G140" s="4">
        <v>-6.6191703442188884E-3</v>
      </c>
      <c r="H140" s="4">
        <v>-5.5300000000000002E-3</v>
      </c>
      <c r="I140" s="4">
        <v>-4.8700000000000002E-3</v>
      </c>
      <c r="J140" s="4">
        <v>-4.7499999999999999E-3</v>
      </c>
      <c r="K140" s="4">
        <v>-4.6299999999999996E-3</v>
      </c>
      <c r="L140" s="4">
        <v>-4.47E-3</v>
      </c>
      <c r="N140" s="10"/>
      <c r="O140" s="10"/>
    </row>
    <row r="141" spans="1:15" x14ac:dyDescent="0.3">
      <c r="A141" s="15">
        <v>12</v>
      </c>
      <c r="B141" s="4">
        <v>-1.6490000000000001E-2</v>
      </c>
      <c r="C141" s="4">
        <v>-1.721E-2</v>
      </c>
      <c r="D141" s="4">
        <v>-2.2100000000000002E-2</v>
      </c>
      <c r="E141" s="4">
        <v>-1.907E-2</v>
      </c>
      <c r="F141" s="4">
        <v>-1.3169999999999999E-2</v>
      </c>
      <c r="G141" s="4">
        <v>-1.0075796064400714E-2</v>
      </c>
      <c r="H141" s="4">
        <v>-8.6899999999999998E-3</v>
      </c>
      <c r="I141" s="4">
        <v>-7.8600000000000007E-3</v>
      </c>
      <c r="J141" s="4">
        <v>-7.725000000000001E-3</v>
      </c>
      <c r="K141" s="4">
        <v>-7.5900000000000004E-3</v>
      </c>
      <c r="L141" s="4">
        <v>-7.3899999999999999E-3</v>
      </c>
      <c r="N141" s="10"/>
      <c r="O141" s="10"/>
    </row>
    <row r="142" spans="1:15" x14ac:dyDescent="0.3">
      <c r="A142" s="15">
        <v>16</v>
      </c>
      <c r="B142" s="4">
        <v>-2.1780000000000001E-2</v>
      </c>
      <c r="C142" s="4">
        <v>-2.2159999999999999E-2</v>
      </c>
      <c r="D142" s="4">
        <v>-2.581E-2</v>
      </c>
      <c r="E142" s="4">
        <v>-2.4750000000000001E-2</v>
      </c>
      <c r="F142" s="4">
        <v>-1.7180000000000001E-2</v>
      </c>
      <c r="G142" s="4">
        <v>-1.3413674752920038E-2</v>
      </c>
      <c r="H142" s="4">
        <v>-1.2149999999999999E-2</v>
      </c>
      <c r="I142" s="4">
        <v>-1.136E-2</v>
      </c>
      <c r="J142" s="4">
        <v>-1.1245E-2</v>
      </c>
      <c r="K142" s="4">
        <v>-1.1129999999999999E-2</v>
      </c>
      <c r="L142" s="4">
        <v>-1.094E-2</v>
      </c>
      <c r="N142" s="10"/>
      <c r="O142" s="10"/>
    </row>
    <row r="143" spans="1:15" x14ac:dyDescent="0.3">
      <c r="A143" s="15">
        <v>20</v>
      </c>
      <c r="B143" s="4">
        <v>-2.5690000000000001E-2</v>
      </c>
      <c r="C143" s="4">
        <v>-2.4309999999999998E-2</v>
      </c>
      <c r="D143" s="4">
        <v>-2.8490000000000001E-2</v>
      </c>
      <c r="E143" s="4">
        <v>-2.921E-2</v>
      </c>
      <c r="F143" s="4">
        <v>-2.0920000000000001E-2</v>
      </c>
      <c r="G143" s="4">
        <v>-1.6520934579439251E-2</v>
      </c>
      <c r="H143" s="4">
        <v>-1.576E-2</v>
      </c>
      <c r="I143" s="4">
        <v>-1.523E-2</v>
      </c>
      <c r="J143" s="4">
        <v>-1.5220000000000001E-2</v>
      </c>
      <c r="K143" s="4">
        <v>-1.521E-2</v>
      </c>
      <c r="L143" s="4">
        <v>-1.508E-2</v>
      </c>
      <c r="N143" s="10"/>
      <c r="O143" s="10"/>
    </row>
    <row r="144" spans="1:15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29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5596-EF42-4924-AFE3-0CF7FAE0B5AE}">
  <dimension ref="A1:W438"/>
  <sheetViews>
    <sheetView topLeftCell="A70" zoomScale="55" zoomScaleNormal="55" workbookViewId="0">
      <selection activeCell="Q93" sqref="Q93"/>
    </sheetView>
  </sheetViews>
  <sheetFormatPr defaultRowHeight="14.4" x14ac:dyDescent="0.3"/>
  <cols>
    <col min="1" max="1" width="13.77734375" style="11" customWidth="1"/>
    <col min="2" max="2" width="16.44140625" style="11" customWidth="1"/>
    <col min="3" max="3" width="11.44140625" style="11" customWidth="1"/>
    <col min="4" max="4" width="12.5546875" style="11" customWidth="1"/>
    <col min="5" max="5" width="12.21875" style="11" customWidth="1"/>
    <col min="6" max="6" width="11.77734375" style="11" customWidth="1"/>
    <col min="7" max="7" width="13.6640625" style="11" customWidth="1"/>
    <col min="8" max="8" width="14.6640625" style="11" customWidth="1"/>
    <col min="9" max="9" width="14.33203125" style="11" customWidth="1"/>
    <col min="10" max="10" width="13.21875" style="11" bestFit="1" customWidth="1"/>
    <col min="11" max="11" width="14.44140625" style="11" customWidth="1"/>
    <col min="12" max="12" width="10.77734375" style="11" customWidth="1"/>
    <col min="13" max="13" width="13.6640625" style="11" customWidth="1"/>
    <col min="14" max="14" width="12.88671875" style="11" customWidth="1"/>
    <col min="15" max="15" width="16.5546875" style="11" customWidth="1"/>
    <col min="16" max="16" width="18.44140625" style="18" customWidth="1"/>
    <col min="17" max="17" width="28.21875" style="18" customWidth="1"/>
    <col min="18" max="18" width="20.44140625" style="18" customWidth="1"/>
    <col min="19" max="19" width="15.44140625" style="17" customWidth="1"/>
    <col min="20" max="20" width="16.88671875" style="4" customWidth="1"/>
    <col min="21" max="21" width="17.33203125" customWidth="1"/>
    <col min="22" max="22" width="16.5546875" customWidth="1"/>
  </cols>
  <sheetData>
    <row r="1" spans="1:20" ht="18" x14ac:dyDescent="0.3">
      <c r="A1" s="12" t="s">
        <v>21</v>
      </c>
      <c r="B1" s="12" t="s">
        <v>22</v>
      </c>
      <c r="C1" s="13" t="s">
        <v>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6"/>
    </row>
    <row r="2" spans="1:20" x14ac:dyDescent="0.3">
      <c r="A2" s="13">
        <f>(B2^2*PI())/4</f>
        <v>0.12378581913490845</v>
      </c>
      <c r="B2" s="11">
        <v>0.39700000000000002</v>
      </c>
      <c r="C2" s="13">
        <v>1.026</v>
      </c>
    </row>
    <row r="3" spans="1:20" x14ac:dyDescent="0.3">
      <c r="C3" s="13"/>
    </row>
    <row r="4" spans="1:20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9"/>
    </row>
    <row r="5" spans="1:20" ht="23.4" x14ac:dyDescent="0.3">
      <c r="A5" s="27" t="s">
        <v>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20" ht="18" x14ac:dyDescent="0.3">
      <c r="A6" s="12" t="s">
        <v>31</v>
      </c>
      <c r="B6" s="12" t="s">
        <v>32</v>
      </c>
      <c r="C6" s="12" t="s">
        <v>33</v>
      </c>
      <c r="D6" s="12" t="s">
        <v>44</v>
      </c>
      <c r="E6" s="12" t="s">
        <v>34</v>
      </c>
      <c r="F6" s="12" t="s">
        <v>35</v>
      </c>
      <c r="G6" s="12" t="s">
        <v>36</v>
      </c>
      <c r="H6" s="12" t="s">
        <v>37</v>
      </c>
      <c r="I6" s="12" t="s">
        <v>38</v>
      </c>
      <c r="J6" s="12" t="s">
        <v>39</v>
      </c>
      <c r="K6" s="12" t="s">
        <v>40</v>
      </c>
      <c r="L6" s="12" t="s">
        <v>41</v>
      </c>
      <c r="M6" s="12" t="s">
        <v>42</v>
      </c>
      <c r="N6" s="12" t="s">
        <v>43</v>
      </c>
      <c r="O6" s="16" t="s">
        <v>45</v>
      </c>
      <c r="P6" s="16" t="s">
        <v>46</v>
      </c>
      <c r="Q6" s="16" t="s">
        <v>47</v>
      </c>
      <c r="R6" s="16" t="s">
        <v>48</v>
      </c>
      <c r="S6" s="17" t="s">
        <v>51</v>
      </c>
      <c r="T6" s="4" t="s">
        <v>52</v>
      </c>
    </row>
    <row r="7" spans="1:20" x14ac:dyDescent="0.3">
      <c r="A7" s="11">
        <v>-8.0000000000000004E-4</v>
      </c>
      <c r="B7" s="11">
        <v>2.9999999999999997E-4</v>
      </c>
      <c r="C7" s="11">
        <v>0.17127000000000001</v>
      </c>
      <c r="D7" s="11">
        <v>0.17127000000000001</v>
      </c>
      <c r="E7" s="11">
        <v>0.17127000000000001</v>
      </c>
      <c r="F7" s="11">
        <v>2.9999999999999997E-4</v>
      </c>
      <c r="G7" s="11">
        <v>0</v>
      </c>
      <c r="H7" s="11">
        <v>2.1637</v>
      </c>
      <c r="I7" s="13">
        <v>1.026</v>
      </c>
      <c r="J7" s="11">
        <v>0.3</v>
      </c>
      <c r="K7" s="11">
        <v>0</v>
      </c>
      <c r="L7" s="11">
        <v>6374.72</v>
      </c>
      <c r="M7" s="11">
        <v>1.22543</v>
      </c>
      <c r="N7" s="23">
        <v>2710000</v>
      </c>
      <c r="O7" s="11">
        <v>1.2999999999999999E-3</v>
      </c>
      <c r="P7" s="18">
        <v>3.8999999999999998E-3</v>
      </c>
      <c r="Q7" s="18">
        <v>-7.0000000000000007E-2</v>
      </c>
      <c r="R7" s="18">
        <v>-4.5100000000000001E-2</v>
      </c>
      <c r="S7" s="17">
        <v>0</v>
      </c>
      <c r="T7" s="4">
        <v>1.0000000000000001E-5</v>
      </c>
    </row>
    <row r="8" spans="1:20" x14ac:dyDescent="0.3">
      <c r="A8" s="11">
        <v>-5.0000000000000001E-4</v>
      </c>
      <c r="B8" s="11">
        <v>2.0000000000000001E-4</v>
      </c>
      <c r="C8" s="11">
        <v>0.1754</v>
      </c>
      <c r="D8" s="11">
        <v>0.1754</v>
      </c>
      <c r="E8" s="11">
        <v>0.1754</v>
      </c>
      <c r="F8" s="11">
        <v>2.0000000000000001E-4</v>
      </c>
      <c r="G8" s="11">
        <v>0</v>
      </c>
      <c r="H8" s="11">
        <v>1.8373999999999999</v>
      </c>
      <c r="I8" s="13">
        <v>1.026</v>
      </c>
      <c r="J8" s="11">
        <v>0.5</v>
      </c>
      <c r="K8" s="11">
        <v>0</v>
      </c>
      <c r="L8" s="11">
        <v>17707.599999999999</v>
      </c>
      <c r="M8" s="11">
        <v>1.22543</v>
      </c>
      <c r="N8" s="23">
        <v>4517000</v>
      </c>
      <c r="O8" s="11">
        <v>3.5000000000000001E-3</v>
      </c>
      <c r="P8" s="18">
        <v>1.01E-2</v>
      </c>
      <c r="Q8" s="18">
        <v>-7.0000000000000007E-2</v>
      </c>
      <c r="R8" s="18">
        <v>-0.1081</v>
      </c>
      <c r="S8" s="17">
        <v>0</v>
      </c>
      <c r="T8" s="4">
        <v>1.0000000000000001E-5</v>
      </c>
    </row>
    <row r="9" spans="1:20" x14ac:dyDescent="0.3">
      <c r="A9" s="11">
        <v>-2.0000000000000001E-4</v>
      </c>
      <c r="B9" s="11">
        <v>1E-4</v>
      </c>
      <c r="C9" s="11">
        <v>0.21715999999999999</v>
      </c>
      <c r="D9" s="11">
        <v>0.21715999999999999</v>
      </c>
      <c r="E9" s="11">
        <v>0.21715999999999999</v>
      </c>
      <c r="F9" s="11">
        <v>1E-4</v>
      </c>
      <c r="G9" s="11">
        <v>0</v>
      </c>
      <c r="H9" s="11">
        <v>2.1240999999999999</v>
      </c>
      <c r="I9" s="13">
        <v>1.026</v>
      </c>
      <c r="J9" s="11">
        <v>0.80001999999999995</v>
      </c>
      <c r="K9" s="11">
        <v>0</v>
      </c>
      <c r="L9" s="11">
        <v>45333.4</v>
      </c>
      <c r="M9" s="11">
        <v>1.2254499999999999</v>
      </c>
      <c r="N9" s="23">
        <v>7227000</v>
      </c>
      <c r="O9" s="11">
        <v>1.0500000000000001E-2</v>
      </c>
      <c r="P9" s="18">
        <v>2.1899999999999999E-2</v>
      </c>
      <c r="Q9" s="18">
        <v>-7.0000000000000007E-2</v>
      </c>
      <c r="R9" s="18">
        <v>-0.22770000000000001</v>
      </c>
      <c r="S9" s="17">
        <v>0</v>
      </c>
      <c r="T9" s="4">
        <v>1.0000000000000001E-5</v>
      </c>
    </row>
    <row r="10" spans="1:20" x14ac:dyDescent="0.3">
      <c r="A10" s="11">
        <v>2.0000000000000001E-4</v>
      </c>
      <c r="B10" s="11">
        <v>-2.0000000000000001E-4</v>
      </c>
      <c r="C10" s="11">
        <v>0.41176000000000001</v>
      </c>
      <c r="D10" s="11">
        <v>0.41176000000000001</v>
      </c>
      <c r="E10" s="11">
        <v>0.41176000000000001</v>
      </c>
      <c r="F10" s="11">
        <v>-2.0000000000000001E-4</v>
      </c>
      <c r="G10" s="11">
        <v>-1E-4</v>
      </c>
      <c r="H10" s="11">
        <v>1.5896999999999999</v>
      </c>
      <c r="I10" s="13">
        <v>1.026</v>
      </c>
      <c r="J10" s="11">
        <v>1.19963</v>
      </c>
      <c r="K10" s="11">
        <v>0</v>
      </c>
      <c r="L10" s="11">
        <v>102073</v>
      </c>
      <c r="M10" s="11">
        <v>1.2271099999999999</v>
      </c>
      <c r="N10" s="23">
        <v>10850000</v>
      </c>
      <c r="O10" s="11">
        <v>1.0800000000000001E-2</v>
      </c>
      <c r="P10" s="18">
        <v>2.8400000000000002E-2</v>
      </c>
      <c r="Q10" s="18">
        <v>-7.0000000000000007E-2</v>
      </c>
      <c r="R10" s="18">
        <v>-0.31790000000000002</v>
      </c>
      <c r="S10" s="17">
        <v>0</v>
      </c>
      <c r="T10" s="4">
        <v>1.0000000000000001E-5</v>
      </c>
    </row>
    <row r="11" spans="1:20" x14ac:dyDescent="0.3">
      <c r="A11" s="11">
        <v>1E-4</v>
      </c>
      <c r="B11" s="11">
        <v>0</v>
      </c>
      <c r="C11" s="11">
        <v>0.29441000000000001</v>
      </c>
      <c r="D11" s="11">
        <v>0.29441000000000001</v>
      </c>
      <c r="E11" s="11">
        <v>0.29441000000000001</v>
      </c>
      <c r="F11" s="11">
        <v>0</v>
      </c>
      <c r="G11" s="11">
        <v>-1E-4</v>
      </c>
      <c r="H11" s="11">
        <v>33.724400000000003</v>
      </c>
      <c r="I11" s="13">
        <v>1.026</v>
      </c>
      <c r="J11" s="11">
        <v>1.99997</v>
      </c>
      <c r="K11" s="11">
        <v>0</v>
      </c>
      <c r="L11" s="11">
        <v>283345</v>
      </c>
      <c r="M11" s="11">
        <v>1.2255799999999999</v>
      </c>
      <c r="N11" s="23">
        <v>18070000</v>
      </c>
      <c r="O11" s="11">
        <v>5.7999999999999996E-3</v>
      </c>
      <c r="P11" s="18">
        <v>0.15390000000000001</v>
      </c>
      <c r="Q11" s="18">
        <v>-7.0000000000000007E-2</v>
      </c>
      <c r="R11" s="18">
        <v>-1.7971999999999999</v>
      </c>
      <c r="S11" s="17">
        <v>0</v>
      </c>
      <c r="T11" s="4">
        <v>1.0000000000000001E-5</v>
      </c>
    </row>
    <row r="12" spans="1:20" x14ac:dyDescent="0.3">
      <c r="A12" s="11">
        <v>0</v>
      </c>
      <c r="B12" s="11">
        <v>0</v>
      </c>
      <c r="C12" s="11">
        <v>0.16714999999999999</v>
      </c>
      <c r="D12" s="11">
        <v>0.16714999999999999</v>
      </c>
      <c r="E12" s="11">
        <v>0.16714999999999999</v>
      </c>
      <c r="F12" s="11">
        <v>0</v>
      </c>
      <c r="G12" s="11">
        <v>0</v>
      </c>
      <c r="H12" s="11">
        <v>12.4621</v>
      </c>
      <c r="I12" s="13">
        <v>1.0262</v>
      </c>
      <c r="J12" s="11">
        <v>4</v>
      </c>
      <c r="K12" s="11">
        <v>0</v>
      </c>
      <c r="L12" s="11">
        <v>1133280</v>
      </c>
      <c r="M12" s="11">
        <v>1.2254400000000001</v>
      </c>
      <c r="N12" s="23">
        <v>36140000</v>
      </c>
      <c r="O12" s="11">
        <v>5.2999999999999999E-2</v>
      </c>
      <c r="P12" s="18">
        <v>-0.16209999999999999</v>
      </c>
      <c r="Q12" s="18">
        <v>-7.0000000000000007E-2</v>
      </c>
      <c r="R12" s="18">
        <v>4.4290000000000003</v>
      </c>
      <c r="S12" s="17">
        <v>0</v>
      </c>
      <c r="T12" s="4">
        <v>0</v>
      </c>
    </row>
    <row r="13" spans="1:20" x14ac:dyDescent="0.3">
      <c r="A13" s="11">
        <v>-1E-4</v>
      </c>
      <c r="B13" s="11">
        <v>0</v>
      </c>
      <c r="C13" s="11">
        <v>0.13936000000000001</v>
      </c>
      <c r="D13" s="11">
        <v>0.13936000000000001</v>
      </c>
      <c r="E13" s="11">
        <v>0.13936000000000001</v>
      </c>
      <c r="F13" s="11">
        <v>0</v>
      </c>
      <c r="G13" s="11">
        <v>0</v>
      </c>
      <c r="H13" s="11">
        <v>1.8885000000000001</v>
      </c>
      <c r="I13" s="11">
        <v>1.026</v>
      </c>
      <c r="J13" s="11">
        <v>6</v>
      </c>
      <c r="K13" s="11">
        <v>0</v>
      </c>
      <c r="L13" s="11">
        <v>2549880</v>
      </c>
      <c r="M13" s="11">
        <v>1.22543</v>
      </c>
      <c r="N13" s="23">
        <v>54200000</v>
      </c>
      <c r="O13" s="11">
        <v>0.23910000000000001</v>
      </c>
      <c r="P13" s="18">
        <v>0.65880000000000005</v>
      </c>
      <c r="Q13" s="18">
        <v>-7.0000000000000007E-2</v>
      </c>
      <c r="R13" s="18">
        <v>-2.2612000000000001</v>
      </c>
      <c r="S13" s="17">
        <v>0</v>
      </c>
      <c r="T13" s="4">
        <v>1.0000000000000001E-5</v>
      </c>
    </row>
    <row r="14" spans="1:20" x14ac:dyDescent="0.3">
      <c r="A14" s="21">
        <v>-2.0000000000000001E-4</v>
      </c>
      <c r="B14" s="11">
        <v>2.0000000000000001E-4</v>
      </c>
      <c r="C14" s="11">
        <v>0.12681000000000001</v>
      </c>
      <c r="D14" s="11">
        <v>0.12681000000000001</v>
      </c>
      <c r="E14" s="11">
        <v>0.12681000000000001</v>
      </c>
      <c r="F14" s="11">
        <v>2.0000000000000001E-4</v>
      </c>
      <c r="G14" s="11">
        <v>0</v>
      </c>
      <c r="H14" s="11">
        <v>1.6072</v>
      </c>
      <c r="I14" s="11">
        <v>1.026</v>
      </c>
      <c r="J14" s="11">
        <v>8</v>
      </c>
      <c r="K14" s="11">
        <v>0</v>
      </c>
      <c r="L14" s="11">
        <v>4533100</v>
      </c>
      <c r="M14" s="11">
        <v>1.22543</v>
      </c>
      <c r="N14" s="23">
        <v>72270000</v>
      </c>
      <c r="O14" s="11">
        <v>1.0223</v>
      </c>
      <c r="P14" s="18">
        <v>1.2999999999999999E-3</v>
      </c>
      <c r="Q14" s="18">
        <v>-7.0000000000000007E-2</v>
      </c>
      <c r="R14" s="18">
        <v>18.052499999999998</v>
      </c>
      <c r="S14" s="17">
        <v>0</v>
      </c>
      <c r="T14" s="4">
        <v>0</v>
      </c>
    </row>
    <row r="15" spans="1:20" x14ac:dyDescent="0.3">
      <c r="A15" s="11">
        <v>0</v>
      </c>
      <c r="B15" s="11">
        <v>0</v>
      </c>
      <c r="C15" s="11">
        <v>0.11996999999999999</v>
      </c>
      <c r="D15" s="11">
        <v>0.11996999999999999</v>
      </c>
      <c r="E15" s="11">
        <v>0.11996999999999999</v>
      </c>
      <c r="F15" s="11">
        <v>0</v>
      </c>
      <c r="G15" s="11">
        <v>0</v>
      </c>
      <c r="H15" s="11">
        <v>3.4628000000000001</v>
      </c>
      <c r="I15" s="13">
        <v>1.026</v>
      </c>
      <c r="J15" s="11">
        <v>10</v>
      </c>
      <c r="K15" s="11">
        <v>0</v>
      </c>
      <c r="L15" s="11">
        <v>7082980</v>
      </c>
      <c r="M15" s="11">
        <v>1.22543</v>
      </c>
      <c r="N15" s="23">
        <v>90340000</v>
      </c>
      <c r="O15" s="11">
        <v>2.9714999999999998</v>
      </c>
      <c r="P15" s="18">
        <v>1.0008999999999999</v>
      </c>
      <c r="Q15" s="18">
        <v>-7.0000000000000007E-2</v>
      </c>
      <c r="R15" s="18">
        <v>16.542999999999999</v>
      </c>
      <c r="S15" s="17">
        <v>1.0000000000000001E-5</v>
      </c>
      <c r="T15" s="4">
        <v>0</v>
      </c>
    </row>
    <row r="18" spans="1:20" ht="18" customHeight="1" x14ac:dyDescent="0.3">
      <c r="A18" s="12" t="s">
        <v>31</v>
      </c>
      <c r="B18" s="12" t="s">
        <v>32</v>
      </c>
      <c r="C18" s="12" t="s">
        <v>33</v>
      </c>
      <c r="D18" s="12" t="s">
        <v>44</v>
      </c>
      <c r="E18" s="12" t="s">
        <v>34</v>
      </c>
      <c r="F18" s="12" t="s">
        <v>35</v>
      </c>
      <c r="G18" s="12" t="s">
        <v>36</v>
      </c>
      <c r="H18" s="12" t="s">
        <v>37</v>
      </c>
      <c r="I18" s="12" t="s">
        <v>38</v>
      </c>
      <c r="J18" s="12" t="s">
        <v>39</v>
      </c>
      <c r="K18" s="12" t="s">
        <v>40</v>
      </c>
      <c r="L18" s="12" t="s">
        <v>41</v>
      </c>
      <c r="M18" s="12" t="s">
        <v>42</v>
      </c>
      <c r="N18" s="12" t="s">
        <v>43</v>
      </c>
      <c r="O18" s="16" t="s">
        <v>45</v>
      </c>
      <c r="P18" s="16" t="s">
        <v>46</v>
      </c>
      <c r="Q18" s="16" t="s">
        <v>47</v>
      </c>
      <c r="R18" s="16" t="s">
        <v>48</v>
      </c>
      <c r="S18" s="17" t="s">
        <v>51</v>
      </c>
      <c r="T18" s="4" t="s">
        <v>52</v>
      </c>
    </row>
    <row r="19" spans="1:20" x14ac:dyDescent="0.3">
      <c r="A19" s="11">
        <v>-3.3500000000000002E-2</v>
      </c>
      <c r="B19" s="11">
        <v>0.1298</v>
      </c>
      <c r="C19" s="11">
        <v>0.17524000000000001</v>
      </c>
      <c r="D19" s="11">
        <v>0.17524000000000001</v>
      </c>
      <c r="E19" s="11">
        <v>0.17965999999999999</v>
      </c>
      <c r="F19" s="11">
        <v>0.1236</v>
      </c>
      <c r="G19" s="11">
        <v>0</v>
      </c>
      <c r="H19" s="11">
        <v>1.1284000000000001</v>
      </c>
      <c r="I19" s="13">
        <v>1.026</v>
      </c>
      <c r="J19" s="11">
        <v>0.3</v>
      </c>
      <c r="K19" s="11">
        <v>2</v>
      </c>
      <c r="L19" s="11">
        <v>6374.72</v>
      </c>
      <c r="M19" s="11">
        <v>1.22543</v>
      </c>
      <c r="N19" s="23">
        <v>2710000</v>
      </c>
      <c r="O19" s="11">
        <v>0.4289</v>
      </c>
      <c r="P19" s="18">
        <v>-0.85199999999999998</v>
      </c>
      <c r="Q19" s="18">
        <v>-7.0000000000000007E-2</v>
      </c>
      <c r="R19" s="18">
        <v>12.933199999999999</v>
      </c>
      <c r="S19" s="17">
        <v>1.3699999999999999E-3</v>
      </c>
      <c r="T19" s="4">
        <v>-2.7200000000000002E-3</v>
      </c>
    </row>
    <row r="20" spans="1:20" x14ac:dyDescent="0.3">
      <c r="A20" s="11">
        <v>-3.9100000000000003E-2</v>
      </c>
      <c r="B20" s="11">
        <v>0.13400000000000001</v>
      </c>
      <c r="C20" s="11">
        <v>0.17582999999999999</v>
      </c>
      <c r="D20" s="11">
        <v>0.17582999999999999</v>
      </c>
      <c r="E20" s="11">
        <v>0.1804</v>
      </c>
      <c r="F20" s="11">
        <v>0.12770000000000001</v>
      </c>
      <c r="G20" s="11">
        <v>0</v>
      </c>
      <c r="H20" s="11">
        <v>1.1418999999999999</v>
      </c>
      <c r="I20" s="13">
        <v>1.026</v>
      </c>
      <c r="J20" s="11">
        <v>0.5</v>
      </c>
      <c r="K20" s="11">
        <v>2</v>
      </c>
      <c r="L20" s="11">
        <v>17707.599999999999</v>
      </c>
      <c r="M20" s="11">
        <v>1.22543</v>
      </c>
      <c r="N20" s="23">
        <v>4517000</v>
      </c>
      <c r="O20" s="11">
        <v>1.2195</v>
      </c>
      <c r="P20" s="18">
        <v>-2.4710000000000001</v>
      </c>
      <c r="Q20" s="18">
        <v>-7.0000000000000007E-2</v>
      </c>
      <c r="R20" s="18">
        <v>37.531599999999997</v>
      </c>
      <c r="S20" s="17">
        <v>1.4E-3</v>
      </c>
      <c r="T20" s="4">
        <v>-2.8400000000000001E-3</v>
      </c>
    </row>
    <row r="21" spans="1:20" x14ac:dyDescent="0.3">
      <c r="A21" s="11">
        <v>-5.9900000000000002E-2</v>
      </c>
      <c r="B21" s="11">
        <v>0.152</v>
      </c>
      <c r="C21" s="11">
        <v>0.21603</v>
      </c>
      <c r="D21" s="11">
        <v>0.21603</v>
      </c>
      <c r="E21" s="11">
        <v>0.22120000000000001</v>
      </c>
      <c r="F21" s="11">
        <v>0.1444</v>
      </c>
      <c r="G21" s="11">
        <v>0</v>
      </c>
      <c r="H21" s="11">
        <v>1.1823999999999999</v>
      </c>
      <c r="I21" s="13">
        <v>1.026</v>
      </c>
      <c r="J21" s="11">
        <v>0.80001999999999995</v>
      </c>
      <c r="K21" s="11">
        <v>2</v>
      </c>
      <c r="L21" s="11">
        <v>45333.5</v>
      </c>
      <c r="M21" s="11">
        <v>1.2254499999999999</v>
      </c>
      <c r="N21" s="23">
        <v>7227000</v>
      </c>
      <c r="O21" s="11">
        <v>2.9472</v>
      </c>
      <c r="P21" s="18">
        <v>-7.5025000000000004</v>
      </c>
      <c r="Q21" s="18">
        <v>-7.0000000000000007E-2</v>
      </c>
      <c r="R21" s="18">
        <v>113.815</v>
      </c>
      <c r="S21" s="17">
        <v>1.32E-3</v>
      </c>
      <c r="T21" s="4">
        <v>-3.3700000000000002E-3</v>
      </c>
    </row>
    <row r="22" spans="1:20" x14ac:dyDescent="0.3">
      <c r="A22" s="11">
        <v>-5.7799999999999997E-2</v>
      </c>
      <c r="B22" s="11">
        <v>0.1434</v>
      </c>
      <c r="C22" s="11">
        <v>0.41236</v>
      </c>
      <c r="D22" s="11">
        <v>0.41236</v>
      </c>
      <c r="E22" s="11">
        <v>0.41710999999999998</v>
      </c>
      <c r="F22" s="11">
        <v>0.12889999999999999</v>
      </c>
      <c r="G22" s="11">
        <v>-2.0000000000000001E-4</v>
      </c>
      <c r="H22" s="11">
        <v>1.1859999999999999</v>
      </c>
      <c r="I22" s="13">
        <v>1.026</v>
      </c>
      <c r="J22" s="11">
        <v>1.1996</v>
      </c>
      <c r="K22" s="11">
        <v>2</v>
      </c>
      <c r="L22" s="11">
        <v>102078</v>
      </c>
      <c r="M22" s="11">
        <v>1.22723</v>
      </c>
      <c r="N22" s="23">
        <v>10850000</v>
      </c>
      <c r="O22" s="11">
        <v>4.4173999999999998</v>
      </c>
      <c r="P22" s="18">
        <v>-16.475999999999999</v>
      </c>
      <c r="Q22" s="18">
        <v>-7.0000000000000007E-2</v>
      </c>
      <c r="R22" s="18">
        <v>250.196</v>
      </c>
      <c r="S22" s="17">
        <v>8.8000000000000003E-4</v>
      </c>
      <c r="T22" s="4">
        <v>-3.2799999999999999E-3</v>
      </c>
    </row>
    <row r="23" spans="1:20" x14ac:dyDescent="0.3">
      <c r="A23" s="11">
        <v>-2.7799999999999998E-2</v>
      </c>
      <c r="B23" s="11">
        <v>0.1113</v>
      </c>
      <c r="C23" s="11">
        <v>0.29519000000000001</v>
      </c>
      <c r="D23" s="11">
        <v>0.29519000000000001</v>
      </c>
      <c r="E23" s="11">
        <v>0.29888999999999999</v>
      </c>
      <c r="F23" s="11">
        <v>0.10100000000000001</v>
      </c>
      <c r="G23" s="11">
        <v>-1E-4</v>
      </c>
      <c r="H23" s="11">
        <v>1.1251</v>
      </c>
      <c r="I23" s="13">
        <v>1.026</v>
      </c>
      <c r="J23" s="11">
        <v>1.99997</v>
      </c>
      <c r="K23" s="11">
        <v>2</v>
      </c>
      <c r="L23" s="11">
        <v>283344</v>
      </c>
      <c r="M23" s="11">
        <v>1.2255799999999999</v>
      </c>
      <c r="N23" s="23">
        <v>18070000</v>
      </c>
      <c r="O23" s="11">
        <v>5.6509</v>
      </c>
      <c r="P23" s="18">
        <v>-30.7209</v>
      </c>
      <c r="Q23" s="18">
        <v>-7.0000000000000007E-2</v>
      </c>
      <c r="R23" s="18">
        <v>459.12099999999998</v>
      </c>
      <c r="S23" s="17">
        <v>4.0999999999999999E-4</v>
      </c>
      <c r="T23" s="4">
        <v>-2.2100000000000002E-3</v>
      </c>
    </row>
    <row r="24" spans="1:20" x14ac:dyDescent="0.3">
      <c r="A24" s="11">
        <v>-1.26E-2</v>
      </c>
      <c r="B24" s="11">
        <v>8.9700000000000002E-2</v>
      </c>
      <c r="C24" s="11">
        <v>0.16858999999999999</v>
      </c>
      <c r="D24" s="11">
        <v>0.16858999999999999</v>
      </c>
      <c r="E24" s="11">
        <v>0.17161000000000001</v>
      </c>
      <c r="F24" s="11">
        <v>8.3799999999999999E-2</v>
      </c>
      <c r="G24" s="11">
        <v>0</v>
      </c>
      <c r="H24" s="11">
        <v>1.0815999999999999</v>
      </c>
      <c r="I24" s="13">
        <v>1.026</v>
      </c>
      <c r="J24" s="11">
        <v>4</v>
      </c>
      <c r="K24" s="11">
        <v>2</v>
      </c>
      <c r="L24" s="11">
        <v>1133280</v>
      </c>
      <c r="M24" s="11">
        <v>1.2254400000000001</v>
      </c>
      <c r="N24" s="23">
        <v>36140000</v>
      </c>
      <c r="O24" s="11">
        <v>12.471</v>
      </c>
      <c r="P24" s="18">
        <v>-59.062600000000003</v>
      </c>
      <c r="Q24" s="18">
        <v>-7.0000000000000007E-2</v>
      </c>
      <c r="R24" s="18">
        <v>926.26</v>
      </c>
      <c r="S24" s="17">
        <v>2.2000000000000001E-4</v>
      </c>
      <c r="T24" s="4">
        <v>-1.06E-3</v>
      </c>
    </row>
    <row r="25" spans="1:20" x14ac:dyDescent="0.3">
      <c r="A25" s="11">
        <v>-1.47E-2</v>
      </c>
      <c r="B25" s="11">
        <v>8.3599999999999994E-2</v>
      </c>
      <c r="C25" s="11">
        <v>0.14185</v>
      </c>
      <c r="D25" s="11">
        <v>0.14185</v>
      </c>
      <c r="E25" s="11">
        <v>0.14469000000000001</v>
      </c>
      <c r="F25" s="11">
        <v>7.8600000000000003E-2</v>
      </c>
      <c r="G25" s="11">
        <v>0</v>
      </c>
      <c r="H25" s="11">
        <v>1.0958000000000001</v>
      </c>
      <c r="I25" s="13">
        <v>1.026</v>
      </c>
      <c r="J25" s="11">
        <v>6</v>
      </c>
      <c r="K25" s="11">
        <v>2</v>
      </c>
      <c r="L25" s="11">
        <v>2549880</v>
      </c>
      <c r="M25" s="11">
        <v>1.22543</v>
      </c>
      <c r="N25" s="23">
        <v>54200000</v>
      </c>
      <c r="O25" s="11">
        <v>23.9008</v>
      </c>
      <c r="P25" s="18">
        <v>-96.278499999999994</v>
      </c>
      <c r="Q25" s="18">
        <v>-7.0000000000000007E-2</v>
      </c>
      <c r="R25" s="18">
        <v>1504.99</v>
      </c>
      <c r="S25" s="17">
        <v>1.9000000000000001E-4</v>
      </c>
      <c r="T25" s="4">
        <v>-7.6999999999999996E-4</v>
      </c>
    </row>
    <row r="26" spans="1:20" x14ac:dyDescent="0.3">
      <c r="A26" s="11">
        <v>-1.7299999999999999E-2</v>
      </c>
      <c r="B26" s="11">
        <v>7.9000000000000001E-2</v>
      </c>
      <c r="C26" s="11">
        <v>0.12903000000000001</v>
      </c>
      <c r="D26" s="11">
        <v>0.12903000000000001</v>
      </c>
      <c r="E26" s="11">
        <v>0.13170999999999999</v>
      </c>
      <c r="F26" s="11">
        <v>7.4399999999999994E-2</v>
      </c>
      <c r="G26" s="11">
        <v>0</v>
      </c>
      <c r="H26" s="11">
        <v>1.1131</v>
      </c>
      <c r="I26" s="13">
        <v>1.026</v>
      </c>
      <c r="J26" s="11">
        <v>8</v>
      </c>
      <c r="K26" s="11">
        <v>2</v>
      </c>
      <c r="L26" s="11">
        <v>4533100</v>
      </c>
      <c r="M26" s="11">
        <v>1.22543</v>
      </c>
      <c r="N26" s="23">
        <v>72270000</v>
      </c>
      <c r="O26" s="11">
        <v>36.616399999999999</v>
      </c>
      <c r="P26" s="18">
        <v>-147.202</v>
      </c>
      <c r="Q26" s="18">
        <v>-7.0000000000000007E-2</v>
      </c>
      <c r="R26" s="18">
        <v>2282.91</v>
      </c>
      <c r="S26" s="17">
        <v>1.6000000000000001E-4</v>
      </c>
      <c r="T26" s="4">
        <v>-6.6E-4</v>
      </c>
    </row>
    <row r="27" spans="1:20" x14ac:dyDescent="0.3">
      <c r="A27" s="11">
        <v>-1.38E-2</v>
      </c>
      <c r="B27" s="11">
        <v>7.2800000000000004E-2</v>
      </c>
      <c r="C27" s="11">
        <v>0.12238</v>
      </c>
      <c r="D27" s="11">
        <v>0.12238</v>
      </c>
      <c r="E27" s="11">
        <v>0.12485</v>
      </c>
      <c r="F27" s="11">
        <v>6.8500000000000005E-2</v>
      </c>
      <c r="G27" s="11">
        <v>0</v>
      </c>
      <c r="H27" s="11">
        <v>1.1014999999999999</v>
      </c>
      <c r="I27" s="13">
        <v>1.026</v>
      </c>
      <c r="J27" s="11">
        <v>10</v>
      </c>
      <c r="K27" s="11">
        <v>2</v>
      </c>
      <c r="L27" s="11">
        <v>7082970</v>
      </c>
      <c r="M27" s="11">
        <v>1.22543</v>
      </c>
      <c r="N27" s="23">
        <v>90340000</v>
      </c>
      <c r="O27" s="11">
        <v>51.056600000000003</v>
      </c>
      <c r="P27" s="18">
        <v>-211.59700000000001</v>
      </c>
      <c r="Q27" s="18">
        <v>-7.0000000000000007E-2</v>
      </c>
      <c r="R27" s="18">
        <v>3210.98</v>
      </c>
      <c r="S27" s="17">
        <v>1.4999999999999999E-4</v>
      </c>
      <c r="T27" s="4">
        <v>-6.0999999999999997E-4</v>
      </c>
    </row>
    <row r="28" spans="1:20" x14ac:dyDescent="0.3">
      <c r="I28" s="13"/>
    </row>
    <row r="31" spans="1:20" ht="18" x14ac:dyDescent="0.3">
      <c r="A31" s="12" t="s">
        <v>31</v>
      </c>
      <c r="B31" s="12" t="s">
        <v>32</v>
      </c>
      <c r="C31" s="12" t="s">
        <v>33</v>
      </c>
      <c r="D31" s="12" t="s">
        <v>44</v>
      </c>
      <c r="E31" s="12" t="s">
        <v>34</v>
      </c>
      <c r="F31" s="12" t="s">
        <v>35</v>
      </c>
      <c r="G31" s="12" t="s">
        <v>36</v>
      </c>
      <c r="H31" s="12" t="s">
        <v>37</v>
      </c>
      <c r="I31" s="12" t="s">
        <v>38</v>
      </c>
      <c r="J31" s="12" t="s">
        <v>39</v>
      </c>
      <c r="K31" s="12" t="s">
        <v>40</v>
      </c>
      <c r="L31" s="12" t="s">
        <v>41</v>
      </c>
      <c r="M31" s="12" t="s">
        <v>42</v>
      </c>
      <c r="N31" s="12" t="s">
        <v>43</v>
      </c>
      <c r="O31" s="16" t="s">
        <v>45</v>
      </c>
      <c r="P31" s="16" t="s">
        <v>46</v>
      </c>
      <c r="Q31" s="16" t="s">
        <v>47</v>
      </c>
      <c r="R31" s="16" t="s">
        <v>48</v>
      </c>
      <c r="S31" s="17" t="s">
        <v>51</v>
      </c>
      <c r="T31" s="4" t="s">
        <v>52</v>
      </c>
    </row>
    <row r="32" spans="1:20" x14ac:dyDescent="0.3">
      <c r="A32" s="11">
        <v>-7.0599999999999996E-2</v>
      </c>
      <c r="B32" s="11">
        <v>0.2606</v>
      </c>
      <c r="C32" s="11">
        <v>0.17468</v>
      </c>
      <c r="D32" s="11">
        <v>0.17468</v>
      </c>
      <c r="E32" s="11">
        <v>0.19244</v>
      </c>
      <c r="F32" s="11">
        <v>0.24779999999999999</v>
      </c>
      <c r="G32" s="11">
        <v>0</v>
      </c>
      <c r="H32" s="11">
        <v>1.1335999999999999</v>
      </c>
      <c r="I32" s="13">
        <v>1.026</v>
      </c>
      <c r="J32" s="11">
        <v>0.3</v>
      </c>
      <c r="K32" s="11">
        <v>4</v>
      </c>
      <c r="L32" s="11">
        <v>6374.73</v>
      </c>
      <c r="M32" s="11">
        <v>1.22543</v>
      </c>
      <c r="N32" s="23">
        <v>2710000</v>
      </c>
      <c r="O32" s="11">
        <v>0.86829999999999996</v>
      </c>
      <c r="P32" s="18">
        <v>-1.6993</v>
      </c>
      <c r="Q32" s="18">
        <v>-7.0000000000000007E-2</v>
      </c>
      <c r="R32" s="18">
        <v>26.066700000000001</v>
      </c>
      <c r="S32" s="17">
        <v>2.7699999999999999E-3</v>
      </c>
      <c r="T32" s="4">
        <v>-5.4200000000000003E-3</v>
      </c>
    </row>
    <row r="33" spans="1:20" x14ac:dyDescent="0.3">
      <c r="A33" s="11">
        <v>-8.0399999999999999E-2</v>
      </c>
      <c r="B33" s="11">
        <v>0.26929999999999998</v>
      </c>
      <c r="C33" s="11">
        <v>0.1734</v>
      </c>
      <c r="D33" s="11">
        <v>0.1734</v>
      </c>
      <c r="E33" s="11">
        <v>0.19176000000000001</v>
      </c>
      <c r="F33" s="11">
        <v>0.25659999999999999</v>
      </c>
      <c r="G33" s="11">
        <v>0</v>
      </c>
      <c r="H33" s="11">
        <v>1.1445000000000001</v>
      </c>
      <c r="I33" s="13">
        <v>1.026</v>
      </c>
      <c r="J33" s="11">
        <v>0.5</v>
      </c>
      <c r="K33" s="11">
        <v>4</v>
      </c>
      <c r="L33" s="11">
        <v>17707.599999999999</v>
      </c>
      <c r="M33" s="11">
        <v>1.22543</v>
      </c>
      <c r="N33" s="23">
        <v>4517000</v>
      </c>
      <c r="O33" s="11">
        <v>2.4704999999999999</v>
      </c>
      <c r="P33" s="18">
        <v>-4.9352</v>
      </c>
      <c r="Q33" s="18">
        <v>-7.0000000000000007E-2</v>
      </c>
      <c r="R33" s="18">
        <v>75.768000000000001</v>
      </c>
      <c r="S33" s="17">
        <v>2.8400000000000001E-3</v>
      </c>
      <c r="T33" s="4">
        <v>-5.6699999999999997E-3</v>
      </c>
    </row>
    <row r="34" spans="1:20" x14ac:dyDescent="0.3">
      <c r="A34" s="11">
        <v>-0.1226</v>
      </c>
      <c r="B34" s="11">
        <v>0.307</v>
      </c>
      <c r="C34" s="11">
        <v>0.21138000000000001</v>
      </c>
      <c r="D34" s="11">
        <v>0.21138000000000001</v>
      </c>
      <c r="E34" s="11">
        <v>0.23227999999999999</v>
      </c>
      <c r="F34" s="11">
        <v>0.29149999999999998</v>
      </c>
      <c r="G34" s="11">
        <v>0</v>
      </c>
      <c r="H34" s="11">
        <v>1.1845000000000001</v>
      </c>
      <c r="I34" s="13">
        <v>1.026</v>
      </c>
      <c r="J34" s="11">
        <v>0.80001999999999995</v>
      </c>
      <c r="K34" s="11">
        <v>4</v>
      </c>
      <c r="L34" s="11">
        <v>45333.8</v>
      </c>
      <c r="M34" s="11">
        <v>1.2254499999999999</v>
      </c>
      <c r="N34" s="23">
        <v>7227000</v>
      </c>
      <c r="O34" s="11">
        <v>6.0044000000000004</v>
      </c>
      <c r="P34" s="18">
        <v>-15.1683</v>
      </c>
      <c r="Q34" s="18">
        <v>-7.0000000000000007E-2</v>
      </c>
      <c r="R34" s="18">
        <v>232.28100000000001</v>
      </c>
      <c r="S34" s="17">
        <v>2.7000000000000001E-3</v>
      </c>
      <c r="T34" s="4">
        <v>-6.8100000000000001E-3</v>
      </c>
    </row>
    <row r="35" spans="1:20" x14ac:dyDescent="0.3">
      <c r="A35" s="11">
        <v>-0.1193</v>
      </c>
      <c r="B35" s="11">
        <v>0.29099999999999998</v>
      </c>
      <c r="C35" s="11">
        <v>0.41191</v>
      </c>
      <c r="D35" s="11">
        <v>0.41191</v>
      </c>
      <c r="E35" s="11">
        <v>0.43120999999999998</v>
      </c>
      <c r="F35" s="11">
        <v>0.2616</v>
      </c>
      <c r="G35" s="11">
        <v>-2.0000000000000001E-4</v>
      </c>
      <c r="H35" s="11">
        <v>1.1887000000000001</v>
      </c>
      <c r="I35" s="13">
        <v>1.026</v>
      </c>
      <c r="J35" s="11">
        <v>1.1997100000000001</v>
      </c>
      <c r="K35" s="11">
        <v>4</v>
      </c>
      <c r="L35" s="11">
        <v>102055</v>
      </c>
      <c r="M35" s="11">
        <v>1.2267399999999999</v>
      </c>
      <c r="N35" s="23">
        <v>10850000</v>
      </c>
      <c r="O35" s="11">
        <v>9.0222999999999995</v>
      </c>
      <c r="P35" s="18">
        <v>-33.117100000000001</v>
      </c>
      <c r="Q35" s="18">
        <v>-7.0000000000000007E-2</v>
      </c>
      <c r="R35" s="18">
        <v>505.61599999999999</v>
      </c>
      <c r="S35" s="17">
        <v>1.8E-3</v>
      </c>
      <c r="T35" s="4">
        <v>-6.6E-3</v>
      </c>
    </row>
    <row r="36" spans="1:20" x14ac:dyDescent="0.3">
      <c r="A36" s="11">
        <v>-5.6399999999999999E-2</v>
      </c>
      <c r="B36" s="11">
        <v>0.22470000000000001</v>
      </c>
      <c r="C36" s="11">
        <v>0.29644999999999999</v>
      </c>
      <c r="D36" s="11">
        <v>0.29644999999999999</v>
      </c>
      <c r="E36" s="11">
        <v>0.31140000000000001</v>
      </c>
      <c r="F36" s="11">
        <v>0.20349999999999999</v>
      </c>
      <c r="G36" s="11">
        <v>-1E-4</v>
      </c>
      <c r="H36" s="11">
        <v>1.1256999999999999</v>
      </c>
      <c r="I36" s="13">
        <v>1.026</v>
      </c>
      <c r="J36" s="11">
        <v>1.99997</v>
      </c>
      <c r="K36" s="11">
        <v>4</v>
      </c>
      <c r="L36" s="11">
        <v>283343</v>
      </c>
      <c r="M36" s="11">
        <v>1.22557</v>
      </c>
      <c r="N36" s="23">
        <v>18070000</v>
      </c>
      <c r="O36" s="11">
        <v>11.0893</v>
      </c>
      <c r="P36" s="18">
        <v>-61.147199999999998</v>
      </c>
      <c r="Q36" s="18">
        <v>-7.0000000000000007E-2</v>
      </c>
      <c r="R36" s="18">
        <v>924.63400000000001</v>
      </c>
      <c r="S36" s="17">
        <v>8.0000000000000004E-4</v>
      </c>
      <c r="T36" s="4">
        <v>-4.3899999999999998E-3</v>
      </c>
    </row>
    <row r="37" spans="1:20" x14ac:dyDescent="0.3">
      <c r="A37" s="11">
        <v>-2.4500000000000001E-2</v>
      </c>
      <c r="B37" s="11">
        <v>0.18160000000000001</v>
      </c>
      <c r="C37" s="11">
        <v>0.17263999999999999</v>
      </c>
      <c r="D37" s="11">
        <v>0.17263999999999999</v>
      </c>
      <c r="E37" s="11">
        <v>0.18487999999999999</v>
      </c>
      <c r="F37" s="11">
        <v>0.1691</v>
      </c>
      <c r="G37" s="11">
        <v>0</v>
      </c>
      <c r="H37" s="11">
        <v>1.0794999999999999</v>
      </c>
      <c r="I37" s="13">
        <v>1.026</v>
      </c>
      <c r="J37" s="11">
        <v>4</v>
      </c>
      <c r="K37" s="11">
        <v>4</v>
      </c>
      <c r="L37" s="11">
        <v>1133280</v>
      </c>
      <c r="M37" s="11">
        <v>1.2254400000000001</v>
      </c>
      <c r="N37" s="23">
        <v>36140000</v>
      </c>
      <c r="O37" s="11">
        <v>23.354900000000001</v>
      </c>
      <c r="P37" s="18">
        <v>-115.697</v>
      </c>
      <c r="Q37" s="18">
        <v>-7.0000000000000007E-2</v>
      </c>
      <c r="R37" s="18">
        <v>1830.08</v>
      </c>
      <c r="S37" s="17">
        <v>4.2000000000000002E-4</v>
      </c>
      <c r="T37" s="4">
        <v>-2.0799999999999998E-3</v>
      </c>
    </row>
    <row r="38" spans="1:20" x14ac:dyDescent="0.3">
      <c r="A38" s="11">
        <v>-2.7099999999999999E-2</v>
      </c>
      <c r="B38" s="11">
        <v>0.16980000000000001</v>
      </c>
      <c r="C38" s="11">
        <v>0.14652999999999999</v>
      </c>
      <c r="D38" s="11">
        <v>0.14652999999999999</v>
      </c>
      <c r="E38" s="11">
        <v>0.15801999999999999</v>
      </c>
      <c r="F38" s="11">
        <v>0.15920000000000001</v>
      </c>
      <c r="G38" s="11">
        <v>0</v>
      </c>
      <c r="H38" s="11">
        <v>1.0892999999999999</v>
      </c>
      <c r="I38" s="13">
        <v>1.026</v>
      </c>
      <c r="J38" s="11">
        <v>6</v>
      </c>
      <c r="K38" s="11">
        <v>4</v>
      </c>
      <c r="L38" s="11">
        <v>2549870</v>
      </c>
      <c r="M38" s="11">
        <v>1.22543</v>
      </c>
      <c r="N38" s="23">
        <v>54200000</v>
      </c>
      <c r="O38" s="11">
        <v>45.149700000000003</v>
      </c>
      <c r="P38" s="18">
        <v>-186.62100000000001</v>
      </c>
      <c r="Q38" s="18">
        <v>-7.0000000000000007E-2</v>
      </c>
      <c r="R38" s="18">
        <v>2947.64</v>
      </c>
      <c r="S38" s="17">
        <v>3.6000000000000002E-4</v>
      </c>
      <c r="T38" s="4">
        <v>-1.49E-3</v>
      </c>
    </row>
    <row r="39" spans="1:20" x14ac:dyDescent="0.3">
      <c r="A39" s="11">
        <v>-2.9600000000000001E-2</v>
      </c>
      <c r="B39" s="11">
        <v>0.16089999999999999</v>
      </c>
      <c r="C39" s="11">
        <v>0.13333999999999999</v>
      </c>
      <c r="D39" s="11">
        <v>0.13333999999999999</v>
      </c>
      <c r="E39" s="11">
        <v>0.14423</v>
      </c>
      <c r="F39" s="11">
        <v>0.1512</v>
      </c>
      <c r="G39" s="11">
        <v>0</v>
      </c>
      <c r="H39" s="11">
        <v>1.099</v>
      </c>
      <c r="I39" s="13">
        <v>1.026</v>
      </c>
      <c r="J39" s="11">
        <v>8</v>
      </c>
      <c r="K39" s="11">
        <v>4</v>
      </c>
      <c r="L39" s="11">
        <v>4533110</v>
      </c>
      <c r="M39" s="11">
        <v>1.22543</v>
      </c>
      <c r="N39" s="23">
        <v>72270000</v>
      </c>
      <c r="O39" s="11">
        <v>62.476399999999998</v>
      </c>
      <c r="P39" s="18">
        <v>-283.94900000000001</v>
      </c>
      <c r="Q39" s="18">
        <v>-7.0000000000000007E-2</v>
      </c>
      <c r="R39" s="18">
        <v>4338.78</v>
      </c>
      <c r="S39" s="17">
        <v>2.7999999999999998E-4</v>
      </c>
      <c r="T39" s="4">
        <v>-1.2700000000000001E-3</v>
      </c>
    </row>
    <row r="40" spans="1:20" x14ac:dyDescent="0.3">
      <c r="A40" s="11">
        <v>-2.6499999999999999E-2</v>
      </c>
      <c r="B40" s="11">
        <v>0.15329999999999999</v>
      </c>
      <c r="C40" s="11">
        <v>0.12678</v>
      </c>
      <c r="D40" s="11">
        <v>0.12678</v>
      </c>
      <c r="E40" s="11">
        <v>0.13716999999999999</v>
      </c>
      <c r="F40" s="11">
        <v>0.14410000000000001</v>
      </c>
      <c r="G40" s="11">
        <v>0</v>
      </c>
      <c r="H40" s="11">
        <v>1.0945</v>
      </c>
      <c r="I40" s="13">
        <v>1.026</v>
      </c>
      <c r="J40" s="11">
        <v>10</v>
      </c>
      <c r="K40" s="11">
        <v>4</v>
      </c>
      <c r="L40" s="11">
        <v>7082980</v>
      </c>
      <c r="M40" s="11">
        <v>1.22543</v>
      </c>
      <c r="N40" s="23">
        <v>90340000</v>
      </c>
      <c r="O40" s="11">
        <v>78.072800000000001</v>
      </c>
      <c r="P40" s="18">
        <v>-410.541</v>
      </c>
      <c r="Q40" s="18">
        <v>-7.0000000000000007E-2</v>
      </c>
      <c r="R40" s="18">
        <v>5990.64</v>
      </c>
      <c r="S40" s="17">
        <v>2.2000000000000001E-4</v>
      </c>
      <c r="T40" s="4">
        <v>-1.1800000000000001E-3</v>
      </c>
    </row>
    <row r="41" spans="1:20" x14ac:dyDescent="0.3">
      <c r="I41" s="13"/>
    </row>
    <row r="44" spans="1:20" ht="18" x14ac:dyDescent="0.3">
      <c r="A44" s="12" t="s">
        <v>31</v>
      </c>
      <c r="B44" s="12" t="s">
        <v>32</v>
      </c>
      <c r="C44" s="12" t="s">
        <v>33</v>
      </c>
      <c r="D44" s="12" t="s">
        <v>44</v>
      </c>
      <c r="E44" s="12" t="s">
        <v>34</v>
      </c>
      <c r="F44" s="12" t="s">
        <v>35</v>
      </c>
      <c r="G44" s="12" t="s">
        <v>36</v>
      </c>
      <c r="H44" s="12" t="s">
        <v>37</v>
      </c>
      <c r="I44" s="12" t="s">
        <v>38</v>
      </c>
      <c r="J44" s="12" t="s">
        <v>39</v>
      </c>
      <c r="K44" s="12" t="s">
        <v>40</v>
      </c>
      <c r="L44" s="12" t="s">
        <v>41</v>
      </c>
      <c r="M44" s="12" t="s">
        <v>42</v>
      </c>
      <c r="N44" s="12" t="s">
        <v>43</v>
      </c>
      <c r="O44" s="16" t="s">
        <v>45</v>
      </c>
      <c r="P44" s="16" t="s">
        <v>46</v>
      </c>
      <c r="Q44" s="16" t="s">
        <v>47</v>
      </c>
      <c r="R44" s="16" t="s">
        <v>48</v>
      </c>
      <c r="S44" s="17" t="s">
        <v>51</v>
      </c>
      <c r="T44" s="4" t="s">
        <v>52</v>
      </c>
    </row>
    <row r="45" spans="1:20" x14ac:dyDescent="0.3">
      <c r="A45" s="11">
        <v>-0.14940000000000001</v>
      </c>
      <c r="B45" s="11">
        <v>0.52429999999999999</v>
      </c>
      <c r="C45" s="11">
        <v>0.16239000000000001</v>
      </c>
      <c r="D45" s="11">
        <v>0.16239000000000001</v>
      </c>
      <c r="E45" s="11">
        <v>0.23377999999999999</v>
      </c>
      <c r="F45" s="11">
        <v>0.49659999999999999</v>
      </c>
      <c r="G45" s="11">
        <v>0</v>
      </c>
      <c r="H45" s="11">
        <v>1.1391</v>
      </c>
      <c r="I45" s="11">
        <v>1.026</v>
      </c>
      <c r="J45" s="11">
        <v>0.3</v>
      </c>
      <c r="K45" s="11">
        <v>8</v>
      </c>
      <c r="L45" s="11">
        <v>6374.74</v>
      </c>
      <c r="M45" s="11">
        <v>1.22543</v>
      </c>
      <c r="N45" s="23">
        <v>2710000</v>
      </c>
      <c r="O45" s="11">
        <v>1.7497</v>
      </c>
      <c r="P45" s="18">
        <v>-3.3540000000000001</v>
      </c>
      <c r="Q45" s="18">
        <v>-7.0000000000000007E-2</v>
      </c>
      <c r="R45" s="18">
        <v>52.418100000000003</v>
      </c>
      <c r="S45" s="17">
        <v>5.5900000000000004E-3</v>
      </c>
      <c r="T45" s="4">
        <v>-1.0710000000000001E-2</v>
      </c>
    </row>
    <row r="46" spans="1:20" x14ac:dyDescent="0.3">
      <c r="A46" s="11">
        <v>-0.1668</v>
      </c>
      <c r="B46" s="11">
        <v>0.54310000000000003</v>
      </c>
      <c r="C46" s="11">
        <v>0.16019</v>
      </c>
      <c r="D46" s="11">
        <v>0.16019</v>
      </c>
      <c r="E46" s="11">
        <v>0.23422000000000001</v>
      </c>
      <c r="F46" s="11">
        <v>0.51549999999999996</v>
      </c>
      <c r="G46" s="11">
        <v>0</v>
      </c>
      <c r="H46" s="11">
        <v>1.1478999999999999</v>
      </c>
      <c r="I46" s="11">
        <v>1.026</v>
      </c>
      <c r="J46" s="11">
        <v>0.5</v>
      </c>
      <c r="K46" s="11">
        <v>8</v>
      </c>
      <c r="L46" s="11">
        <v>17707.7</v>
      </c>
      <c r="M46" s="11">
        <v>1.22543</v>
      </c>
      <c r="N46" s="23">
        <v>4517000</v>
      </c>
      <c r="O46" s="11">
        <v>5.0058999999999996</v>
      </c>
      <c r="P46" s="18">
        <v>-9.7619000000000007</v>
      </c>
      <c r="Q46" s="18">
        <v>-7.0000000000000007E-2</v>
      </c>
      <c r="R46" s="18">
        <v>152.91800000000001</v>
      </c>
      <c r="S46" s="17">
        <v>5.7499999999999999E-3</v>
      </c>
      <c r="T46" s="4">
        <v>-1.1220000000000001E-2</v>
      </c>
    </row>
    <row r="47" spans="1:20" x14ac:dyDescent="0.3">
      <c r="A47" s="11">
        <v>-0.25430000000000003</v>
      </c>
      <c r="B47" s="11">
        <v>0.62660000000000005</v>
      </c>
      <c r="C47" s="11">
        <v>0.19425000000000001</v>
      </c>
      <c r="D47" s="11">
        <v>0.19425000000000001</v>
      </c>
      <c r="E47" s="11">
        <v>0.27956999999999999</v>
      </c>
      <c r="F47" s="11">
        <v>0.59350000000000003</v>
      </c>
      <c r="G47" s="11">
        <v>0</v>
      </c>
      <c r="H47" s="11">
        <v>1.1871</v>
      </c>
      <c r="I47" s="11">
        <v>1.026</v>
      </c>
      <c r="J47" s="11">
        <v>0.80001999999999995</v>
      </c>
      <c r="K47" s="11">
        <v>8</v>
      </c>
      <c r="L47" s="11">
        <v>45335.1</v>
      </c>
      <c r="M47" s="11">
        <v>1.2254700000000001</v>
      </c>
      <c r="N47" s="23">
        <v>7227000</v>
      </c>
      <c r="O47" s="11">
        <v>12.3043</v>
      </c>
      <c r="P47" s="18">
        <v>-30.983000000000001</v>
      </c>
      <c r="Q47" s="18">
        <v>-7.0000000000000007E-2</v>
      </c>
      <c r="R47" s="18">
        <v>482.15800000000002</v>
      </c>
      <c r="S47" s="17">
        <v>5.5199999999999997E-3</v>
      </c>
      <c r="T47" s="4">
        <v>-1.391E-2</v>
      </c>
    </row>
    <row r="48" spans="1:20" x14ac:dyDescent="0.3">
      <c r="A48" s="11">
        <v>-0.24099999999999999</v>
      </c>
      <c r="B48" s="11">
        <v>0.59119999999999995</v>
      </c>
      <c r="C48" s="11">
        <v>0.41015000000000001</v>
      </c>
      <c r="D48" s="11">
        <v>0.41015000000000001</v>
      </c>
      <c r="E48" s="11">
        <v>0.48843999999999999</v>
      </c>
      <c r="F48" s="11">
        <v>0.52829999999999999</v>
      </c>
      <c r="G48" s="11">
        <v>-2.0000000000000001E-4</v>
      </c>
      <c r="H48" s="11">
        <v>1.1878</v>
      </c>
      <c r="I48" s="11">
        <v>1.026</v>
      </c>
      <c r="J48" s="11">
        <v>1.1997899999999999</v>
      </c>
      <c r="K48" s="11">
        <v>8</v>
      </c>
      <c r="L48" s="11">
        <v>102035</v>
      </c>
      <c r="M48" s="11">
        <v>1.2263500000000001</v>
      </c>
      <c r="N48" s="23">
        <v>10850000</v>
      </c>
      <c r="O48" s="11">
        <v>17.171600000000002</v>
      </c>
      <c r="P48" s="18">
        <v>-66.448700000000002</v>
      </c>
      <c r="Q48" s="18">
        <v>-7.0000000000000007E-2</v>
      </c>
      <c r="R48" s="18">
        <v>1009.32</v>
      </c>
      <c r="S48" s="17">
        <v>3.4199999999999999E-3</v>
      </c>
      <c r="T48" s="4">
        <v>-1.325E-2</v>
      </c>
    </row>
    <row r="49" spans="1:23" x14ac:dyDescent="0.3">
      <c r="A49" s="11">
        <v>-0.1104</v>
      </c>
      <c r="B49" s="11">
        <v>0.4617</v>
      </c>
      <c r="C49" s="11">
        <v>0.29603000000000002</v>
      </c>
      <c r="D49" s="11">
        <v>0.29603000000000002</v>
      </c>
      <c r="E49" s="11">
        <v>0.35741000000000001</v>
      </c>
      <c r="F49" s="11">
        <v>0.41599999999999998</v>
      </c>
      <c r="G49" s="11">
        <v>-1E-4</v>
      </c>
      <c r="H49" s="11">
        <v>1.121</v>
      </c>
      <c r="I49" s="11">
        <v>1.026</v>
      </c>
      <c r="J49" s="11">
        <v>1.99997</v>
      </c>
      <c r="K49" s="11">
        <v>8</v>
      </c>
      <c r="L49" s="11">
        <v>283339</v>
      </c>
      <c r="M49" s="11">
        <v>1.2255499999999999</v>
      </c>
      <c r="N49" s="23">
        <v>18070000</v>
      </c>
      <c r="O49" s="11">
        <v>20.7974</v>
      </c>
      <c r="P49" s="18">
        <v>-117.82299999999999</v>
      </c>
      <c r="Q49" s="18">
        <v>-7.0000000000000007E-2</v>
      </c>
      <c r="R49" s="18">
        <v>1804.52</v>
      </c>
      <c r="S49" s="17">
        <v>1.49E-3</v>
      </c>
      <c r="T49" s="4">
        <v>-8.4600000000000005E-3</v>
      </c>
    </row>
    <row r="50" spans="1:23" x14ac:dyDescent="0.3">
      <c r="A50" s="11">
        <v>-4.8399999999999999E-2</v>
      </c>
      <c r="B50" s="11">
        <v>0.38650000000000001</v>
      </c>
      <c r="C50" s="11">
        <v>0.18615999999999999</v>
      </c>
      <c r="D50" s="11">
        <v>0.18615999999999999</v>
      </c>
      <c r="E50" s="11">
        <v>0.23813999999999999</v>
      </c>
      <c r="F50" s="11">
        <v>0.35680000000000001</v>
      </c>
      <c r="G50" s="11">
        <v>0</v>
      </c>
      <c r="H50" s="11">
        <v>1.0757000000000001</v>
      </c>
      <c r="I50" s="11">
        <v>1.026</v>
      </c>
      <c r="J50" s="11">
        <v>4</v>
      </c>
      <c r="K50" s="11">
        <v>8</v>
      </c>
      <c r="L50" s="11">
        <v>1133280</v>
      </c>
      <c r="M50" s="11">
        <v>1.2254400000000001</v>
      </c>
      <c r="N50" s="23">
        <v>36140000</v>
      </c>
      <c r="O50" s="11">
        <v>41.353499999999997</v>
      </c>
      <c r="P50" s="18">
        <v>-226.03399999999999</v>
      </c>
      <c r="Q50" s="18">
        <v>-7.0000000000000007E-2</v>
      </c>
      <c r="R50" s="18">
        <v>3509.81</v>
      </c>
      <c r="S50" s="17">
        <v>7.3999999999999999E-4</v>
      </c>
      <c r="T50" s="4">
        <v>-4.0600000000000002E-3</v>
      </c>
    </row>
    <row r="51" spans="1:23" x14ac:dyDescent="0.3">
      <c r="A51" s="11">
        <v>-4.7E-2</v>
      </c>
      <c r="B51" s="11">
        <v>0.35920000000000002</v>
      </c>
      <c r="C51" s="11">
        <v>0.15841</v>
      </c>
      <c r="D51" s="11">
        <v>0.15841</v>
      </c>
      <c r="E51" s="11">
        <v>0.20685999999999999</v>
      </c>
      <c r="F51" s="11">
        <v>0.33360000000000001</v>
      </c>
      <c r="G51" s="11">
        <v>1E-4</v>
      </c>
      <c r="H51" s="11">
        <v>1.0780000000000001</v>
      </c>
      <c r="I51" s="11">
        <v>1.026</v>
      </c>
      <c r="J51" s="11">
        <v>6</v>
      </c>
      <c r="K51" s="11">
        <v>8</v>
      </c>
      <c r="L51" s="11">
        <v>2549880</v>
      </c>
      <c r="M51" s="11">
        <v>1.22543</v>
      </c>
      <c r="N51" s="23">
        <v>54200000</v>
      </c>
      <c r="O51" s="11">
        <v>73.744299999999996</v>
      </c>
      <c r="P51" s="18">
        <v>-359.51</v>
      </c>
      <c r="Q51" s="18">
        <v>-7.0000000000000007E-2</v>
      </c>
      <c r="R51" s="18">
        <v>5464.54</v>
      </c>
      <c r="S51" s="17">
        <v>5.9000000000000003E-4</v>
      </c>
      <c r="T51" s="4">
        <v>-2.8700000000000002E-3</v>
      </c>
    </row>
    <row r="52" spans="1:23" x14ac:dyDescent="0.3">
      <c r="A52" s="11">
        <v>-4.2799999999999998E-2</v>
      </c>
      <c r="B52" s="11">
        <v>0.3382</v>
      </c>
      <c r="C52" s="11">
        <v>0.14616000000000001</v>
      </c>
      <c r="D52" s="11">
        <v>0.14616000000000001</v>
      </c>
      <c r="E52" s="11">
        <v>0.19181000000000001</v>
      </c>
      <c r="F52" s="11">
        <v>0.31459999999999999</v>
      </c>
      <c r="G52" s="11">
        <v>0</v>
      </c>
      <c r="H52" s="11">
        <v>1.0762</v>
      </c>
      <c r="I52" s="11">
        <v>1.026</v>
      </c>
      <c r="J52" s="11">
        <v>8</v>
      </c>
      <c r="K52" s="11">
        <v>8</v>
      </c>
      <c r="L52" s="11">
        <v>4533120</v>
      </c>
      <c r="M52" s="11">
        <v>1.22543</v>
      </c>
      <c r="N52" s="24">
        <v>72270000</v>
      </c>
      <c r="O52" s="11">
        <v>106.78100000000001</v>
      </c>
      <c r="P52" s="18">
        <v>-539.31799999999998</v>
      </c>
      <c r="Q52" s="18">
        <v>-7.0000000000000007E-2</v>
      </c>
      <c r="R52" s="18">
        <v>7957.63</v>
      </c>
      <c r="S52" s="17">
        <v>4.8000000000000001E-4</v>
      </c>
      <c r="T52" s="4">
        <v>-2.4199999999999998E-3</v>
      </c>
    </row>
    <row r="53" spans="1:23" x14ac:dyDescent="0.3">
      <c r="A53" s="11">
        <v>-3.7199999999999997E-2</v>
      </c>
      <c r="B53" s="11">
        <v>0.3251</v>
      </c>
      <c r="C53" s="11">
        <v>0.13980999999999999</v>
      </c>
      <c r="D53" s="11">
        <v>0.13980999999999999</v>
      </c>
      <c r="E53" s="11">
        <v>0.18368999999999999</v>
      </c>
      <c r="F53" s="11">
        <v>0.3024</v>
      </c>
      <c r="G53" s="11">
        <v>1E-4</v>
      </c>
      <c r="H53" s="11">
        <v>1.0713999999999999</v>
      </c>
      <c r="I53" s="13">
        <v>1.026</v>
      </c>
      <c r="J53" s="11">
        <v>10</v>
      </c>
      <c r="K53" s="11">
        <v>8</v>
      </c>
      <c r="L53" s="11">
        <v>7083020</v>
      </c>
      <c r="M53" s="11">
        <v>1.2254400000000001</v>
      </c>
      <c r="N53" s="23">
        <v>90340000</v>
      </c>
      <c r="O53" s="11">
        <v>115.334</v>
      </c>
      <c r="P53" s="18">
        <v>-782.404</v>
      </c>
      <c r="Q53" s="18">
        <v>-7.0000000000000007E-2</v>
      </c>
      <c r="R53" s="18">
        <v>10841.3</v>
      </c>
      <c r="S53" s="17">
        <v>3.3E-4</v>
      </c>
      <c r="T53" s="4">
        <v>-2.2499999999999998E-3</v>
      </c>
    </row>
    <row r="54" spans="1:23" x14ac:dyDescent="0.3">
      <c r="I54" s="13"/>
    </row>
    <row r="55" spans="1:23" ht="18" x14ac:dyDescent="0.3">
      <c r="A55" s="12" t="s">
        <v>31</v>
      </c>
      <c r="B55" s="12" t="s">
        <v>32</v>
      </c>
      <c r="C55" s="12" t="s">
        <v>33</v>
      </c>
      <c r="D55" s="12" t="s">
        <v>44</v>
      </c>
      <c r="E55" s="12" t="s">
        <v>34</v>
      </c>
      <c r="F55" s="12" t="s">
        <v>35</v>
      </c>
      <c r="G55" s="12" t="s">
        <v>36</v>
      </c>
      <c r="H55" s="12" t="s">
        <v>37</v>
      </c>
      <c r="I55" s="12" t="s">
        <v>38</v>
      </c>
      <c r="J55" s="12" t="s">
        <v>39</v>
      </c>
      <c r="K55" s="12" t="s">
        <v>40</v>
      </c>
      <c r="L55" s="12" t="s">
        <v>41</v>
      </c>
      <c r="M55" s="12" t="s">
        <v>42</v>
      </c>
      <c r="N55" s="12" t="s">
        <v>43</v>
      </c>
      <c r="O55" s="16" t="s">
        <v>45</v>
      </c>
      <c r="P55" s="16" t="s">
        <v>46</v>
      </c>
      <c r="Q55" s="16" t="s">
        <v>47</v>
      </c>
      <c r="R55" s="16" t="s">
        <v>48</v>
      </c>
      <c r="S55" s="17" t="s">
        <v>51</v>
      </c>
      <c r="T55" s="4" t="s">
        <v>52</v>
      </c>
      <c r="U55" t="s">
        <v>50</v>
      </c>
    </row>
    <row r="56" spans="1:23" x14ac:dyDescent="0.3">
      <c r="A56" s="11">
        <v>-0.2298</v>
      </c>
      <c r="B56" s="11">
        <v>0.78500000000000003</v>
      </c>
      <c r="C56" s="11">
        <v>0.12464</v>
      </c>
      <c r="D56" s="11">
        <v>0.12464</v>
      </c>
      <c r="E56" s="11">
        <v>0.28512999999999999</v>
      </c>
      <c r="F56" s="11">
        <v>0.7419</v>
      </c>
      <c r="G56" s="11">
        <v>0</v>
      </c>
      <c r="H56" s="11">
        <v>1.1422000000000001</v>
      </c>
      <c r="I56" s="11">
        <v>1.026</v>
      </c>
      <c r="J56" s="11">
        <v>0.3</v>
      </c>
      <c r="K56" s="11">
        <v>12</v>
      </c>
      <c r="L56" s="11">
        <v>6374.76</v>
      </c>
      <c r="M56" s="11">
        <v>1.22543</v>
      </c>
      <c r="N56" s="23">
        <v>2710000</v>
      </c>
      <c r="O56" s="11">
        <v>2.6015000000000001</v>
      </c>
      <c r="P56" s="18">
        <v>-4.8997999999999999</v>
      </c>
      <c r="Q56" s="18">
        <v>-7.0000000000000007E-2</v>
      </c>
      <c r="R56" s="18">
        <v>77.796199999999999</v>
      </c>
      <c r="S56" s="17">
        <v>8.3000000000000001E-3</v>
      </c>
      <c r="T56" s="4">
        <v>-1.5640000000000001E-2</v>
      </c>
      <c r="U56" s="10"/>
      <c r="V56" s="10"/>
      <c r="W56" s="10"/>
    </row>
    <row r="57" spans="1:23" x14ac:dyDescent="0.3">
      <c r="A57" s="11">
        <v>-0.25530000000000003</v>
      </c>
      <c r="B57" s="11">
        <v>0.81530000000000002</v>
      </c>
      <c r="C57" s="11">
        <v>0.12482</v>
      </c>
      <c r="D57" s="11">
        <v>0.12482</v>
      </c>
      <c r="E57" s="11">
        <v>0.29160999999999998</v>
      </c>
      <c r="F57" s="11">
        <v>0.77159999999999995</v>
      </c>
      <c r="G57" s="11">
        <v>0</v>
      </c>
      <c r="H57" s="11">
        <v>1.1503000000000001</v>
      </c>
      <c r="I57" s="11">
        <v>1.026</v>
      </c>
      <c r="J57" s="11">
        <v>0.5</v>
      </c>
      <c r="K57" s="11">
        <v>12</v>
      </c>
      <c r="L57" s="11">
        <v>17707.8</v>
      </c>
      <c r="M57" s="11">
        <v>1.22543</v>
      </c>
      <c r="N57" s="23">
        <v>4517000</v>
      </c>
      <c r="O57" s="11">
        <v>7.5083000000000002</v>
      </c>
      <c r="P57" s="18">
        <v>-14.2479</v>
      </c>
      <c r="Q57" s="18">
        <v>-7.0000000000000007E-2</v>
      </c>
      <c r="R57" s="18">
        <v>228.024</v>
      </c>
      <c r="S57" s="17">
        <v>8.6300000000000005E-3</v>
      </c>
      <c r="T57" s="4">
        <v>-1.6369999999999999E-2</v>
      </c>
      <c r="U57" s="10"/>
      <c r="V57" s="10"/>
      <c r="W57" s="10"/>
    </row>
    <row r="58" spans="1:23" x14ac:dyDescent="0.3">
      <c r="A58" s="11">
        <v>-0.3921</v>
      </c>
      <c r="B58" s="11">
        <v>0.95369999999999999</v>
      </c>
      <c r="C58" s="11">
        <v>0.16733000000000001</v>
      </c>
      <c r="D58" s="11">
        <v>0.16733000000000001</v>
      </c>
      <c r="E58" s="11">
        <v>0.36196</v>
      </c>
      <c r="F58" s="11">
        <v>0.89810000000000001</v>
      </c>
      <c r="G58" s="11">
        <v>-1E-4</v>
      </c>
      <c r="H58" s="11">
        <v>1.1892</v>
      </c>
      <c r="I58" s="11">
        <v>1.026</v>
      </c>
      <c r="J58" s="11">
        <v>0.80003000000000002</v>
      </c>
      <c r="K58" s="11">
        <v>12</v>
      </c>
      <c r="L58" s="11">
        <v>45337.599999999999</v>
      </c>
      <c r="M58" s="11">
        <v>1.2255100000000001</v>
      </c>
      <c r="N58" s="23">
        <v>7228000</v>
      </c>
      <c r="O58" s="11">
        <v>17.658899999999999</v>
      </c>
      <c r="P58" s="18">
        <v>-47.441000000000003</v>
      </c>
      <c r="Q58" s="18">
        <v>-7.0000000000000007E-2</v>
      </c>
      <c r="R58" s="18">
        <v>744.95600000000002</v>
      </c>
      <c r="S58" s="17">
        <v>7.9299999999999995E-3</v>
      </c>
      <c r="T58" s="4">
        <v>-2.129E-2</v>
      </c>
      <c r="U58" s="10"/>
      <c r="V58" s="10"/>
      <c r="W58" s="10"/>
    </row>
    <row r="59" spans="1:23" x14ac:dyDescent="0.3">
      <c r="A59" s="11">
        <v>-0.34310000000000002</v>
      </c>
      <c r="B59" s="11">
        <v>0.88249999999999995</v>
      </c>
      <c r="C59" s="11">
        <v>0.40383999999999998</v>
      </c>
      <c r="D59" s="11">
        <v>0.40383999999999998</v>
      </c>
      <c r="E59" s="11">
        <v>0.57850000000000001</v>
      </c>
      <c r="F59" s="11">
        <v>0.77929999999999999</v>
      </c>
      <c r="G59" s="11">
        <v>-1E-4</v>
      </c>
      <c r="H59" s="11">
        <v>1.1803999999999999</v>
      </c>
      <c r="I59" s="11">
        <v>1.026</v>
      </c>
      <c r="J59" s="11">
        <v>1.1998</v>
      </c>
      <c r="K59" s="11">
        <v>12</v>
      </c>
      <c r="L59" s="11">
        <v>102029</v>
      </c>
      <c r="M59" s="11">
        <v>1.22624</v>
      </c>
      <c r="N59" s="23">
        <v>10850000</v>
      </c>
      <c r="O59" s="11">
        <v>22.553799999999999</v>
      </c>
      <c r="P59" s="18">
        <v>-96.870400000000004</v>
      </c>
      <c r="Q59" s="18">
        <v>-7.0000000000000007E-2</v>
      </c>
      <c r="R59" s="18">
        <v>1460.3</v>
      </c>
      <c r="S59" s="17">
        <v>4.4999999999999997E-3</v>
      </c>
      <c r="T59" s="4">
        <v>-1.932E-2</v>
      </c>
      <c r="U59" s="10"/>
      <c r="V59" s="10"/>
      <c r="W59" s="10"/>
    </row>
    <row r="60" spans="1:23" x14ac:dyDescent="0.3">
      <c r="A60" s="11">
        <v>-0.1565</v>
      </c>
      <c r="B60" s="11">
        <v>0.72409999999999997</v>
      </c>
      <c r="C60" s="11">
        <v>0.29297000000000001</v>
      </c>
      <c r="D60" s="11">
        <v>0.29297000000000001</v>
      </c>
      <c r="E60" s="11">
        <v>0.43712000000000001</v>
      </c>
      <c r="F60" s="11">
        <v>0.64739999999999998</v>
      </c>
      <c r="G60" s="11">
        <v>-1E-4</v>
      </c>
      <c r="H60" s="11">
        <v>1.1117999999999999</v>
      </c>
      <c r="I60" s="11">
        <v>1.026</v>
      </c>
      <c r="J60" s="11">
        <v>1.9999800000000001</v>
      </c>
      <c r="K60" s="11">
        <v>12</v>
      </c>
      <c r="L60" s="11">
        <v>283335</v>
      </c>
      <c r="M60" s="11">
        <v>1.22553</v>
      </c>
      <c r="N60" s="23">
        <v>18070000</v>
      </c>
      <c r="O60" s="11">
        <v>27.4849</v>
      </c>
      <c r="P60" s="18">
        <v>-166.34800000000001</v>
      </c>
      <c r="Q60" s="18">
        <v>-7.0000000000000007E-2</v>
      </c>
      <c r="R60" s="18">
        <v>2560.9299999999998</v>
      </c>
      <c r="S60" s="17">
        <v>1.97E-3</v>
      </c>
      <c r="T60" s="4">
        <v>-1.1950000000000001E-2</v>
      </c>
      <c r="U60" s="10"/>
      <c r="V60" s="10"/>
      <c r="W60" s="10"/>
    </row>
    <row r="61" spans="1:23" x14ac:dyDescent="0.3">
      <c r="A61" s="11">
        <v>-7.3599999999999999E-2</v>
      </c>
      <c r="B61" s="11">
        <v>0.62719999999999998</v>
      </c>
      <c r="C61" s="11">
        <v>0.19813</v>
      </c>
      <c r="D61" s="11">
        <v>0.19813</v>
      </c>
      <c r="E61" s="11">
        <v>0.32421</v>
      </c>
      <c r="F61" s="11">
        <v>0.57230000000000003</v>
      </c>
      <c r="G61" s="11">
        <v>0</v>
      </c>
      <c r="H61" s="11">
        <v>1.0726</v>
      </c>
      <c r="I61" s="11">
        <v>1.026</v>
      </c>
      <c r="J61" s="11">
        <v>4</v>
      </c>
      <c r="K61" s="11">
        <v>12</v>
      </c>
      <c r="L61" s="11">
        <v>1133290</v>
      </c>
      <c r="M61" s="11">
        <v>1.2254400000000001</v>
      </c>
      <c r="N61" s="23">
        <v>36140000</v>
      </c>
      <c r="O61" s="11">
        <v>45.495899999999999</v>
      </c>
      <c r="P61" s="18">
        <v>-314.267</v>
      </c>
      <c r="Q61" s="18">
        <v>-7.0000000000000007E-2</v>
      </c>
      <c r="R61" s="18">
        <v>4611.25</v>
      </c>
      <c r="S61" s="17">
        <v>8.1999999999999998E-4</v>
      </c>
      <c r="T61" s="4">
        <v>-5.64E-3</v>
      </c>
      <c r="U61" s="10"/>
      <c r="V61" s="10"/>
      <c r="W61" s="10"/>
    </row>
    <row r="62" spans="1:23" x14ac:dyDescent="0.3">
      <c r="A62" s="11">
        <v>-6.1699999999999998E-2</v>
      </c>
      <c r="B62" s="11">
        <v>0.56920000000000004</v>
      </c>
      <c r="C62" s="11">
        <v>0.1734</v>
      </c>
      <c r="D62" s="11">
        <v>0.1734</v>
      </c>
      <c r="E62" s="11">
        <v>0.28795999999999999</v>
      </c>
      <c r="F62" s="11">
        <v>0.52080000000000004</v>
      </c>
      <c r="G62" s="11">
        <v>0</v>
      </c>
      <c r="H62" s="11">
        <v>1.069</v>
      </c>
      <c r="I62" s="11">
        <v>1.026</v>
      </c>
      <c r="J62" s="11">
        <v>6</v>
      </c>
      <c r="K62" s="11">
        <v>12</v>
      </c>
      <c r="L62" s="11">
        <v>2549910</v>
      </c>
      <c r="M62" s="11">
        <v>1.2254499999999999</v>
      </c>
      <c r="N62" s="23">
        <v>54200000</v>
      </c>
      <c r="O62" s="11">
        <v>70.993499999999997</v>
      </c>
      <c r="P62" s="18">
        <v>-482.68200000000002</v>
      </c>
      <c r="Q62" s="18">
        <v>-7.0000000000000007E-2</v>
      </c>
      <c r="R62" s="18">
        <v>6926.82</v>
      </c>
      <c r="S62" s="17">
        <v>5.6999999999999998E-4</v>
      </c>
      <c r="T62" s="4">
        <v>-3.8500000000000001E-3</v>
      </c>
      <c r="U62" s="10"/>
      <c r="V62" s="10"/>
      <c r="W62" s="10"/>
    </row>
    <row r="63" spans="1:23" x14ac:dyDescent="0.3">
      <c r="A63" s="11">
        <v>-5.1400000000000001E-2</v>
      </c>
      <c r="B63" s="11">
        <v>0.53390000000000004</v>
      </c>
      <c r="C63" s="11">
        <v>0.16314000000000001</v>
      </c>
      <c r="D63" s="11">
        <v>0.16314000000000001</v>
      </c>
      <c r="E63" s="11">
        <v>0.27057999999999999</v>
      </c>
      <c r="F63" s="11">
        <v>0.4884</v>
      </c>
      <c r="G63" s="11">
        <v>1E-4</v>
      </c>
      <c r="H63" s="11">
        <v>1.0642</v>
      </c>
      <c r="I63" s="11">
        <v>1.026</v>
      </c>
      <c r="J63" s="11">
        <v>8</v>
      </c>
      <c r="K63" s="11">
        <v>12</v>
      </c>
      <c r="L63" s="11">
        <v>4533200</v>
      </c>
      <c r="M63" s="11">
        <v>1.2254499999999999</v>
      </c>
      <c r="N63" s="23">
        <v>72270000</v>
      </c>
      <c r="O63" s="11">
        <v>92.900499999999994</v>
      </c>
      <c r="P63" s="18">
        <v>-716.80600000000004</v>
      </c>
      <c r="Q63" s="18">
        <v>-7.0000000000000007E-2</v>
      </c>
      <c r="R63" s="18">
        <v>9938.31</v>
      </c>
      <c r="S63" s="17">
        <v>4.2000000000000002E-4</v>
      </c>
      <c r="T63" s="4">
        <v>-3.2200000000000002E-3</v>
      </c>
      <c r="U63" s="10"/>
      <c r="V63" s="10"/>
      <c r="W63" s="10"/>
    </row>
    <row r="64" spans="1:23" x14ac:dyDescent="0.3">
      <c r="A64" s="11">
        <v>-4.3700000000000003E-2</v>
      </c>
      <c r="B64" s="11">
        <v>0.51370000000000005</v>
      </c>
      <c r="C64" s="11">
        <v>0.15806000000000001</v>
      </c>
      <c r="D64" s="11">
        <v>0.15806000000000001</v>
      </c>
      <c r="E64" s="11">
        <v>0.26140000000000002</v>
      </c>
      <c r="F64" s="11">
        <v>0.46960000000000002</v>
      </c>
      <c r="G64" s="11">
        <v>1E-4</v>
      </c>
      <c r="H64" s="11">
        <v>1.0598000000000001</v>
      </c>
      <c r="I64" s="11">
        <v>1.026</v>
      </c>
      <c r="J64" s="11">
        <v>10</v>
      </c>
      <c r="K64" s="11">
        <v>12</v>
      </c>
      <c r="L64" s="11">
        <v>7083090</v>
      </c>
      <c r="M64" s="11">
        <v>1.2254499999999999</v>
      </c>
      <c r="N64" s="23">
        <v>90340000</v>
      </c>
      <c r="O64" s="11">
        <v>91.756600000000006</v>
      </c>
      <c r="P64" s="18">
        <v>-1032.05</v>
      </c>
      <c r="Q64" s="18">
        <v>-7.0000000000000007E-2</v>
      </c>
      <c r="R64" s="18">
        <v>13533.9</v>
      </c>
      <c r="S64" s="17">
        <v>2.5999999999999998E-4</v>
      </c>
      <c r="T64" s="4">
        <v>-2.96E-3</v>
      </c>
      <c r="U64" s="10"/>
      <c r="V64" s="10"/>
      <c r="W64" s="10"/>
    </row>
    <row r="65" spans="1:20" x14ac:dyDescent="0.3">
      <c r="I65" s="13"/>
    </row>
    <row r="67" spans="1:20" ht="15.6" customHeight="1" x14ac:dyDescent="0.3">
      <c r="A67" s="12" t="s">
        <v>31</v>
      </c>
      <c r="B67" s="12" t="s">
        <v>32</v>
      </c>
      <c r="C67" s="12" t="s">
        <v>33</v>
      </c>
      <c r="D67" s="12" t="s">
        <v>44</v>
      </c>
      <c r="E67" s="12" t="s">
        <v>34</v>
      </c>
      <c r="F67" s="12" t="s">
        <v>35</v>
      </c>
      <c r="G67" s="12" t="s">
        <v>36</v>
      </c>
      <c r="H67" s="12" t="s">
        <v>37</v>
      </c>
      <c r="I67" s="12" t="s">
        <v>38</v>
      </c>
      <c r="J67" s="12" t="s">
        <v>39</v>
      </c>
      <c r="K67" s="12" t="s">
        <v>40</v>
      </c>
      <c r="L67" s="12" t="s">
        <v>41</v>
      </c>
      <c r="M67" s="12" t="s">
        <v>42</v>
      </c>
      <c r="N67" s="12" t="s">
        <v>43</v>
      </c>
      <c r="O67" s="16" t="s">
        <v>45</v>
      </c>
      <c r="P67" s="16" t="s">
        <v>46</v>
      </c>
      <c r="Q67" s="16" t="s">
        <v>47</v>
      </c>
      <c r="R67" s="16" t="s">
        <v>48</v>
      </c>
      <c r="S67" s="17" t="s">
        <v>51</v>
      </c>
      <c r="T67" s="4" t="s">
        <v>52</v>
      </c>
    </row>
    <row r="68" spans="1:20" ht="14.4" customHeight="1" x14ac:dyDescent="0.3">
      <c r="A68" s="11">
        <v>-0.30680000000000002</v>
      </c>
      <c r="B68" s="11">
        <v>1.0368999999999999</v>
      </c>
      <c r="C68" s="11">
        <v>6.8089999999999998E-2</v>
      </c>
      <c r="D68" s="11">
        <v>6.8089999999999998E-2</v>
      </c>
      <c r="E68" s="11">
        <v>0.35125000000000001</v>
      </c>
      <c r="F68" s="11">
        <v>0.97789999999999999</v>
      </c>
      <c r="G68" s="11">
        <v>0</v>
      </c>
      <c r="H68" s="11">
        <v>1.1435</v>
      </c>
      <c r="I68" s="13">
        <v>1.026</v>
      </c>
      <c r="J68" s="11">
        <v>0.3</v>
      </c>
      <c r="K68" s="11">
        <v>16</v>
      </c>
      <c r="L68" s="11">
        <v>6374.79</v>
      </c>
      <c r="M68" s="11">
        <v>1.22543</v>
      </c>
      <c r="N68" s="23">
        <v>2710000</v>
      </c>
      <c r="O68" s="11">
        <v>3.3866000000000001</v>
      </c>
      <c r="P68" s="18">
        <v>-6.2728000000000002</v>
      </c>
      <c r="Q68" s="18">
        <v>-7.0000000000000007E-2</v>
      </c>
      <c r="R68" s="18">
        <v>101.386</v>
      </c>
      <c r="S68" s="17">
        <v>1.081E-2</v>
      </c>
      <c r="T68" s="4">
        <v>-2.002E-2</v>
      </c>
    </row>
    <row r="69" spans="1:20" ht="14.4" customHeight="1" x14ac:dyDescent="0.3">
      <c r="A69" s="11">
        <v>-0.34179999999999999</v>
      </c>
      <c r="B69" s="11">
        <v>1.0812999999999999</v>
      </c>
      <c r="C69" s="11">
        <v>8.6069999999999994E-2</v>
      </c>
      <c r="D69" s="11">
        <v>8.6069999999999994E-2</v>
      </c>
      <c r="E69" s="11">
        <v>0.38079000000000002</v>
      </c>
      <c r="F69" s="11">
        <v>1.0157</v>
      </c>
      <c r="G69" s="11">
        <v>0</v>
      </c>
      <c r="H69" s="11">
        <v>1.1515</v>
      </c>
      <c r="I69" s="13">
        <v>1.026</v>
      </c>
      <c r="J69" s="11">
        <v>0.50000999999999995</v>
      </c>
      <c r="K69" s="11">
        <v>16</v>
      </c>
      <c r="L69" s="11">
        <v>17708</v>
      </c>
      <c r="M69" s="11">
        <v>1.2254400000000001</v>
      </c>
      <c r="N69" s="23">
        <v>4517000</v>
      </c>
      <c r="O69" s="11">
        <v>9.7858999999999998</v>
      </c>
      <c r="P69" s="18">
        <v>-18.1755</v>
      </c>
      <c r="Q69" s="18">
        <v>-7.0000000000000007E-2</v>
      </c>
      <c r="R69" s="18">
        <v>300.95400000000001</v>
      </c>
      <c r="S69" s="17">
        <v>1.125E-2</v>
      </c>
      <c r="T69" s="4">
        <v>-2.0889999999999999E-2</v>
      </c>
    </row>
    <row r="70" spans="1:20" ht="14.4" customHeight="1" x14ac:dyDescent="0.3">
      <c r="A70" s="11">
        <v>-0.46479999999999999</v>
      </c>
      <c r="B70" s="11">
        <v>1.2181</v>
      </c>
      <c r="C70" s="11">
        <v>0.15175</v>
      </c>
      <c r="D70" s="11">
        <v>0.15175</v>
      </c>
      <c r="E70" s="11">
        <v>0.48163</v>
      </c>
      <c r="F70" s="11">
        <v>1.1291</v>
      </c>
      <c r="G70" s="11">
        <v>2.0000000000000001E-4</v>
      </c>
      <c r="H70" s="11">
        <v>1.1775</v>
      </c>
      <c r="I70" s="13">
        <v>1.026</v>
      </c>
      <c r="J70" s="11">
        <v>0.80005000000000004</v>
      </c>
      <c r="K70" s="11">
        <v>16</v>
      </c>
      <c r="L70" s="11">
        <v>45342.1</v>
      </c>
      <c r="M70" s="11">
        <v>1.22559</v>
      </c>
      <c r="N70" s="23">
        <v>7228000</v>
      </c>
      <c r="O70" s="11">
        <v>22.424499999999998</v>
      </c>
      <c r="P70" s="18">
        <v>-55.247999999999998</v>
      </c>
      <c r="Q70" s="18">
        <v>-7.0000000000000007E-2</v>
      </c>
      <c r="R70" s="18">
        <v>913.36400000000003</v>
      </c>
      <c r="S70" s="17">
        <v>1.0059999999999999E-2</v>
      </c>
      <c r="T70" s="4">
        <v>-2.479E-2</v>
      </c>
    </row>
    <row r="71" spans="1:20" ht="14.4" customHeight="1" x14ac:dyDescent="0.3">
      <c r="A71" s="11">
        <v>-0.41060000000000002</v>
      </c>
      <c r="B71" s="11">
        <v>1.1594</v>
      </c>
      <c r="C71" s="11">
        <v>0.38584000000000002</v>
      </c>
      <c r="D71" s="11">
        <v>0.38584000000000002</v>
      </c>
      <c r="E71" s="11">
        <v>0.69045999999999996</v>
      </c>
      <c r="F71" s="11">
        <v>1.0081</v>
      </c>
      <c r="G71" s="11">
        <v>0</v>
      </c>
      <c r="H71" s="11">
        <v>1.1666000000000001</v>
      </c>
      <c r="I71" s="13">
        <v>1.026</v>
      </c>
      <c r="J71" s="11">
        <v>1.1997899999999999</v>
      </c>
      <c r="K71" s="11">
        <v>16</v>
      </c>
      <c r="L71" s="11">
        <v>102027</v>
      </c>
      <c r="M71" s="11">
        <v>1.2262299999999999</v>
      </c>
      <c r="N71" s="23">
        <v>10850000</v>
      </c>
      <c r="O71" s="11">
        <v>25.889900000000001</v>
      </c>
      <c r="P71" s="18">
        <v>-119.208</v>
      </c>
      <c r="Q71" s="18">
        <v>-7.0000000000000007E-2</v>
      </c>
      <c r="R71" s="18">
        <v>1807.7</v>
      </c>
      <c r="S71" s="17">
        <v>5.1599999999999997E-3</v>
      </c>
      <c r="T71" s="4">
        <v>-2.3779999999999999E-2</v>
      </c>
    </row>
    <row r="72" spans="1:20" ht="14.4" customHeight="1" x14ac:dyDescent="0.3">
      <c r="A72" s="11">
        <v>-0.18909999999999999</v>
      </c>
      <c r="B72" s="11">
        <v>1.0374000000000001</v>
      </c>
      <c r="C72" s="11">
        <v>0.28925000000000001</v>
      </c>
      <c r="D72" s="11">
        <v>0.28925000000000001</v>
      </c>
      <c r="E72" s="11">
        <v>0.56398999999999999</v>
      </c>
      <c r="F72" s="11">
        <v>0.91749999999999998</v>
      </c>
      <c r="G72" s="11">
        <v>0</v>
      </c>
      <c r="H72" s="11">
        <v>1.0984</v>
      </c>
      <c r="I72" s="13">
        <v>1.026</v>
      </c>
      <c r="J72" s="11">
        <v>1.9999800000000001</v>
      </c>
      <c r="K72" s="11">
        <v>16</v>
      </c>
      <c r="L72" s="11">
        <v>283335</v>
      </c>
      <c r="M72" s="11">
        <v>1.22553</v>
      </c>
      <c r="N72" s="23">
        <v>18070000</v>
      </c>
      <c r="O72" s="11">
        <v>28.534800000000001</v>
      </c>
      <c r="P72" s="18">
        <v>-203.339</v>
      </c>
      <c r="Q72" s="18">
        <v>-7.0000000000000007E-2</v>
      </c>
      <c r="R72" s="18">
        <v>3080.51</v>
      </c>
      <c r="S72" s="17">
        <v>2.0500000000000002E-3</v>
      </c>
      <c r="T72" s="4">
        <v>-1.46E-2</v>
      </c>
    </row>
    <row r="73" spans="1:20" ht="14.4" customHeight="1" x14ac:dyDescent="0.3">
      <c r="A73" s="11">
        <v>-9.5600000000000004E-2</v>
      </c>
      <c r="B73" s="11">
        <v>0.88949999999999996</v>
      </c>
      <c r="C73" s="11">
        <v>0.21288000000000001</v>
      </c>
      <c r="D73" s="11">
        <v>0.21288000000000001</v>
      </c>
      <c r="E73" s="11">
        <v>0.44980999999999999</v>
      </c>
      <c r="F73" s="11">
        <v>0.7964</v>
      </c>
      <c r="G73" s="11">
        <v>-1E-4</v>
      </c>
      <c r="H73" s="11">
        <v>1.0687</v>
      </c>
      <c r="I73" s="13">
        <v>1.026</v>
      </c>
      <c r="J73" s="11">
        <v>4</v>
      </c>
      <c r="K73" s="11">
        <v>16</v>
      </c>
      <c r="L73" s="11">
        <v>1133300</v>
      </c>
      <c r="M73" s="11">
        <v>1.22546</v>
      </c>
      <c r="N73" s="23">
        <v>36140000</v>
      </c>
      <c r="O73" s="11">
        <v>41.03</v>
      </c>
      <c r="P73" s="18">
        <v>-364.56900000000002</v>
      </c>
      <c r="Q73" s="18">
        <v>-7.0000000000000007E-2</v>
      </c>
      <c r="R73" s="18">
        <v>5181.18</v>
      </c>
      <c r="S73" s="17">
        <v>7.3999999999999999E-4</v>
      </c>
      <c r="T73" s="4">
        <v>-6.5500000000000003E-3</v>
      </c>
    </row>
    <row r="74" spans="1:20" ht="14.4" customHeight="1" x14ac:dyDescent="0.3">
      <c r="A74" s="11">
        <v>-7.4399999999999994E-2</v>
      </c>
      <c r="B74" s="11">
        <v>0.79659999999999997</v>
      </c>
      <c r="C74" s="11">
        <v>0.19527</v>
      </c>
      <c r="D74" s="11">
        <v>0.19527</v>
      </c>
      <c r="E74" s="11">
        <v>0.40727000000000002</v>
      </c>
      <c r="F74" s="11">
        <v>0.71189999999999998</v>
      </c>
      <c r="G74" s="11">
        <v>1E-4</v>
      </c>
      <c r="H74" s="11">
        <v>1.0630999999999999</v>
      </c>
      <c r="I74" s="13">
        <v>1.026</v>
      </c>
      <c r="J74" s="11">
        <v>6</v>
      </c>
      <c r="K74" s="11">
        <v>16</v>
      </c>
      <c r="L74" s="11">
        <v>2549990</v>
      </c>
      <c r="M74" s="11">
        <v>1.22549</v>
      </c>
      <c r="N74" s="23">
        <v>54210000</v>
      </c>
      <c r="O74" s="11">
        <v>60.703800000000001</v>
      </c>
      <c r="P74" s="18">
        <v>-552.27499999999998</v>
      </c>
      <c r="Q74" s="18">
        <v>-7.0000000000000007E-2</v>
      </c>
      <c r="R74" s="18">
        <v>7741.77</v>
      </c>
      <c r="S74" s="17">
        <v>4.8000000000000001E-4</v>
      </c>
      <c r="T74" s="4">
        <v>-4.4099999999999999E-3</v>
      </c>
    </row>
    <row r="75" spans="1:20" x14ac:dyDescent="0.3">
      <c r="A75" s="11">
        <v>-6.1100000000000002E-2</v>
      </c>
      <c r="B75" s="11">
        <v>0.74980000000000002</v>
      </c>
      <c r="C75" s="11">
        <v>0.18629000000000001</v>
      </c>
      <c r="D75" s="11">
        <v>0.18629000000000001</v>
      </c>
      <c r="E75" s="11">
        <v>0.38574999999999998</v>
      </c>
      <c r="F75" s="11">
        <v>0.6694</v>
      </c>
      <c r="G75" s="11">
        <v>0</v>
      </c>
      <c r="H75" s="11">
        <v>1.0584</v>
      </c>
      <c r="I75" s="13">
        <v>1.026</v>
      </c>
      <c r="J75" s="11">
        <v>8</v>
      </c>
      <c r="K75" s="11">
        <v>16</v>
      </c>
      <c r="L75" s="11">
        <v>4533380</v>
      </c>
      <c r="M75" s="11">
        <v>1.2255</v>
      </c>
      <c r="N75" s="23">
        <v>72270000</v>
      </c>
      <c r="O75" s="11">
        <v>74.764799999999994</v>
      </c>
      <c r="P75" s="18">
        <v>-802.38099999999997</v>
      </c>
      <c r="Q75" s="18">
        <v>-7.0000000000000007E-2</v>
      </c>
      <c r="R75" s="18">
        <v>10898.3</v>
      </c>
      <c r="S75" s="17">
        <v>3.4000000000000002E-4</v>
      </c>
      <c r="T75" s="4">
        <v>-3.5999999999999999E-3</v>
      </c>
    </row>
    <row r="76" spans="1:20" s="10" customFormat="1" x14ac:dyDescent="0.3">
      <c r="A76" s="11">
        <v>-5.2900000000000003E-2</v>
      </c>
      <c r="B76" s="11">
        <v>0.72470000000000001</v>
      </c>
      <c r="C76" s="11">
        <v>0.18157000000000001</v>
      </c>
      <c r="D76" s="11">
        <v>0.18157000000000001</v>
      </c>
      <c r="E76" s="11">
        <v>0.37430000000000002</v>
      </c>
      <c r="F76" s="11">
        <v>0.64659999999999995</v>
      </c>
      <c r="G76" s="11">
        <v>0</v>
      </c>
      <c r="H76" s="11">
        <v>1.0549999999999999</v>
      </c>
      <c r="I76" s="13">
        <v>1.026</v>
      </c>
      <c r="J76" s="11">
        <v>10</v>
      </c>
      <c r="K76" s="11">
        <v>16</v>
      </c>
      <c r="L76" s="11">
        <v>7083480</v>
      </c>
      <c r="M76" s="11">
        <v>1.2255199999999999</v>
      </c>
      <c r="N76" s="23">
        <v>90340000</v>
      </c>
      <c r="O76" s="11">
        <v>74.752899999999997</v>
      </c>
      <c r="P76" s="18">
        <v>-1126.6300000000001</v>
      </c>
      <c r="Q76" s="18">
        <v>-7.0000000000000007E-2</v>
      </c>
      <c r="R76" s="18">
        <v>14700.1</v>
      </c>
      <c r="S76" s="17">
        <v>2.1000000000000001E-4</v>
      </c>
      <c r="T76" s="4">
        <v>-3.2399999999999998E-3</v>
      </c>
    </row>
    <row r="77" spans="1:20" s="10" customFormat="1" x14ac:dyDescent="0.3">
      <c r="A77" s="11"/>
      <c r="B77" s="11"/>
      <c r="C77" s="11"/>
      <c r="D77" s="11"/>
      <c r="E77" s="11"/>
      <c r="F77" s="11"/>
      <c r="G77" s="11"/>
      <c r="H77" s="11"/>
      <c r="I77" s="13"/>
      <c r="J77" s="11"/>
      <c r="K77" s="11"/>
      <c r="L77" s="11"/>
      <c r="M77" s="11"/>
      <c r="N77" s="23"/>
      <c r="O77" s="11"/>
      <c r="P77" s="18"/>
      <c r="Q77" s="18"/>
      <c r="R77" s="18"/>
      <c r="S77" s="17"/>
      <c r="T77" s="4"/>
    </row>
    <row r="78" spans="1:20" s="10" customFormat="1" ht="15.6" customHeight="1" x14ac:dyDescent="0.3">
      <c r="A78" s="12" t="s">
        <v>31</v>
      </c>
      <c r="B78" s="12" t="s">
        <v>32</v>
      </c>
      <c r="C78" s="12" t="s">
        <v>33</v>
      </c>
      <c r="D78" s="12" t="s">
        <v>44</v>
      </c>
      <c r="E78" s="12" t="s">
        <v>34</v>
      </c>
      <c r="F78" s="12" t="s">
        <v>35</v>
      </c>
      <c r="G78" s="12" t="s">
        <v>36</v>
      </c>
      <c r="H78" s="12" t="s">
        <v>37</v>
      </c>
      <c r="I78" s="12" t="s">
        <v>38</v>
      </c>
      <c r="J78" s="12" t="s">
        <v>39</v>
      </c>
      <c r="K78" s="12" t="s">
        <v>40</v>
      </c>
      <c r="L78" s="12" t="s">
        <v>41</v>
      </c>
      <c r="M78" s="12" t="s">
        <v>42</v>
      </c>
      <c r="N78" s="12" t="s">
        <v>43</v>
      </c>
      <c r="O78" s="16" t="s">
        <v>45</v>
      </c>
      <c r="P78" s="16" t="s">
        <v>46</v>
      </c>
      <c r="Q78" s="16" t="s">
        <v>47</v>
      </c>
      <c r="R78" s="16" t="s">
        <v>48</v>
      </c>
      <c r="S78" s="17" t="s">
        <v>51</v>
      </c>
      <c r="T78" s="4" t="s">
        <v>52</v>
      </c>
    </row>
    <row r="79" spans="1:20" s="10" customFormat="1" x14ac:dyDescent="0.3">
      <c r="A79" s="11">
        <v>-0.38390000000000002</v>
      </c>
      <c r="B79" s="11">
        <v>1.2790999999999999</v>
      </c>
      <c r="C79" s="11">
        <v>2.0639999999999999E-2</v>
      </c>
      <c r="D79" s="11">
        <v>2.0639999999999999E-2</v>
      </c>
      <c r="E79" s="11">
        <v>0.45689000000000002</v>
      </c>
      <c r="F79" s="11">
        <v>1.1949000000000001</v>
      </c>
      <c r="G79" s="11">
        <v>1E-4</v>
      </c>
      <c r="H79" s="11">
        <v>1.1452</v>
      </c>
      <c r="I79" s="13">
        <v>1.026</v>
      </c>
      <c r="J79" s="11">
        <v>0.3</v>
      </c>
      <c r="K79" s="11">
        <v>20</v>
      </c>
      <c r="L79" s="11">
        <v>6374.84</v>
      </c>
      <c r="M79" s="11">
        <v>1.22543</v>
      </c>
      <c r="N79" s="23">
        <v>2710000</v>
      </c>
      <c r="O79" s="11">
        <v>4.0438999999999998</v>
      </c>
      <c r="P79" s="18">
        <v>-7.5331999999999999</v>
      </c>
      <c r="Q79" s="18">
        <v>-7.0000000000000007E-2</v>
      </c>
      <c r="R79" s="18">
        <v>125.006</v>
      </c>
      <c r="S79" s="17">
        <v>1.291E-2</v>
      </c>
      <c r="T79" s="4">
        <v>-2.4049999999999998E-2</v>
      </c>
    </row>
    <row r="80" spans="1:20" s="10" customFormat="1" x14ac:dyDescent="0.3">
      <c r="A80" s="11">
        <v>-0.3891</v>
      </c>
      <c r="B80" s="11">
        <v>1.3029999999999999</v>
      </c>
      <c r="C80" s="11">
        <v>6.0670000000000002E-2</v>
      </c>
      <c r="D80" s="11">
        <v>6.0670000000000002E-2</v>
      </c>
      <c r="E80" s="11">
        <v>0.50266999999999995</v>
      </c>
      <c r="F80" s="11">
        <v>1.2037</v>
      </c>
      <c r="G80" s="11">
        <v>-1E-3</v>
      </c>
      <c r="H80" s="11">
        <v>1.1445000000000001</v>
      </c>
      <c r="I80" s="13">
        <v>1.026</v>
      </c>
      <c r="J80" s="11">
        <v>0.50000999999999995</v>
      </c>
      <c r="K80" s="11">
        <v>20</v>
      </c>
      <c r="L80" s="11">
        <v>17708.3</v>
      </c>
      <c r="M80" s="11">
        <v>1.2254400000000001</v>
      </c>
      <c r="N80" s="23">
        <v>4517000</v>
      </c>
      <c r="O80" s="11">
        <v>12.165100000000001</v>
      </c>
      <c r="P80" s="18">
        <v>-21.323799999999999</v>
      </c>
      <c r="Q80" s="18">
        <v>-7.0000000000000007E-2</v>
      </c>
      <c r="R80" s="18">
        <v>362.46</v>
      </c>
      <c r="S80" s="17">
        <v>1.3979999999999999E-2</v>
      </c>
      <c r="T80" s="4">
        <v>-2.4500000000000001E-2</v>
      </c>
    </row>
    <row r="81" spans="1:20" s="10" customFormat="1" x14ac:dyDescent="0.3">
      <c r="A81" s="11">
        <v>-0.49430000000000002</v>
      </c>
      <c r="B81" s="11">
        <v>1.4461999999999999</v>
      </c>
      <c r="C81" s="11">
        <v>0.13642000000000001</v>
      </c>
      <c r="D81" s="11">
        <v>0.13642000000000001</v>
      </c>
      <c r="E81" s="11">
        <v>0.62283999999999995</v>
      </c>
      <c r="F81" s="11">
        <v>1.3124</v>
      </c>
      <c r="G81" s="11">
        <v>-4.0000000000000002E-4</v>
      </c>
      <c r="H81" s="11">
        <v>1.1617</v>
      </c>
      <c r="I81" s="13">
        <v>1.026</v>
      </c>
      <c r="J81" s="11">
        <v>0.80005999999999999</v>
      </c>
      <c r="K81" s="11">
        <v>20</v>
      </c>
      <c r="L81" s="11">
        <v>45348.2</v>
      </c>
      <c r="M81" s="11">
        <v>1.2257</v>
      </c>
      <c r="N81" s="23">
        <v>7229000</v>
      </c>
      <c r="O81" s="11">
        <v>26.420999999999999</v>
      </c>
      <c r="P81" s="18">
        <v>-60.839500000000001</v>
      </c>
      <c r="Q81" s="18">
        <v>-7.0000000000000007E-2</v>
      </c>
      <c r="R81" s="18">
        <v>1036.02</v>
      </c>
      <c r="S81" s="17">
        <v>1.1860000000000001E-2</v>
      </c>
      <c r="T81" s="4">
        <v>-2.7300000000000001E-2</v>
      </c>
    </row>
    <row r="82" spans="1:20" s="10" customFormat="1" x14ac:dyDescent="0.3">
      <c r="A82" s="11">
        <v>-0.43740000000000001</v>
      </c>
      <c r="B82" s="11">
        <v>1.4329000000000001</v>
      </c>
      <c r="C82" s="11">
        <v>0.36234</v>
      </c>
      <c r="D82" s="11">
        <v>0.36234</v>
      </c>
      <c r="E82" s="11">
        <v>0.83055999999999996</v>
      </c>
      <c r="F82" s="11">
        <v>1.2224999999999999</v>
      </c>
      <c r="G82" s="11">
        <v>1E-4</v>
      </c>
      <c r="H82" s="11">
        <v>1.1472</v>
      </c>
      <c r="I82" s="13">
        <v>1.026</v>
      </c>
      <c r="J82" s="11">
        <v>1.19977</v>
      </c>
      <c r="K82" s="11">
        <v>20</v>
      </c>
      <c r="L82" s="11">
        <v>102026</v>
      </c>
      <c r="M82" s="11">
        <v>1.22627</v>
      </c>
      <c r="N82" s="23">
        <v>10850000</v>
      </c>
      <c r="O82" s="11">
        <v>27.359500000000001</v>
      </c>
      <c r="P82" s="18">
        <v>-131.56200000000001</v>
      </c>
      <c r="Q82" s="18">
        <v>-7.0000000000000007E-2</v>
      </c>
      <c r="R82" s="18">
        <v>2023.34</v>
      </c>
      <c r="S82" s="17">
        <v>5.4599999999999996E-3</v>
      </c>
      <c r="T82" s="4">
        <v>-2.6239999999999999E-2</v>
      </c>
    </row>
    <row r="83" spans="1:20" s="10" customFormat="1" x14ac:dyDescent="0.3">
      <c r="A83" s="11">
        <v>-0.20519999999999999</v>
      </c>
      <c r="B83" s="11">
        <v>1.4014</v>
      </c>
      <c r="C83" s="11">
        <v>0.28988000000000003</v>
      </c>
      <c r="D83" s="11">
        <v>0.28988000000000003</v>
      </c>
      <c r="E83" s="11">
        <v>0.75168999999999997</v>
      </c>
      <c r="F83" s="11">
        <v>1.2177</v>
      </c>
      <c r="G83" s="11">
        <v>0</v>
      </c>
      <c r="H83" s="11">
        <v>1.0841000000000001</v>
      </c>
      <c r="I83" s="13">
        <v>1.026</v>
      </c>
      <c r="J83" s="11">
        <v>1.99997</v>
      </c>
      <c r="K83" s="11">
        <v>20</v>
      </c>
      <c r="L83" s="11">
        <v>283339</v>
      </c>
      <c r="M83" s="11">
        <v>1.2255499999999999</v>
      </c>
      <c r="N83" s="23">
        <v>18070000</v>
      </c>
      <c r="O83" s="11">
        <v>11.866</v>
      </c>
      <c r="P83" s="18">
        <v>-210.542</v>
      </c>
      <c r="Q83" s="18">
        <v>-7.0000000000000007E-2</v>
      </c>
      <c r="R83" s="18">
        <v>2962.43</v>
      </c>
      <c r="S83" s="17">
        <v>8.4999999999999995E-4</v>
      </c>
      <c r="T83" s="4">
        <v>-1.512E-2</v>
      </c>
    </row>
    <row r="84" spans="1:20" s="10" customFormat="1" x14ac:dyDescent="0.3">
      <c r="A84" s="11">
        <v>-0.11409999999999999</v>
      </c>
      <c r="B84" s="11">
        <v>1.1606000000000001</v>
      </c>
      <c r="C84" s="11">
        <v>0.23760999999999999</v>
      </c>
      <c r="D84" s="11">
        <v>0.23760999999999999</v>
      </c>
      <c r="E84" s="11">
        <v>0.62022999999999995</v>
      </c>
      <c r="F84" s="11">
        <v>1.0093000000000001</v>
      </c>
      <c r="G84" s="11">
        <v>0</v>
      </c>
      <c r="H84" s="11">
        <v>1.0649999999999999</v>
      </c>
      <c r="I84" s="13">
        <v>1.026</v>
      </c>
      <c r="J84" s="11">
        <v>4</v>
      </c>
      <c r="K84" s="11">
        <v>20</v>
      </c>
      <c r="L84" s="11">
        <v>1133340</v>
      </c>
      <c r="M84" s="11">
        <v>1.2255</v>
      </c>
      <c r="N84" s="23">
        <v>36140000</v>
      </c>
      <c r="O84" s="11">
        <v>37.869399999999999</v>
      </c>
      <c r="P84" s="18">
        <v>-393.43700000000001</v>
      </c>
      <c r="Q84" s="18">
        <v>-7.0000000000000007E-2</v>
      </c>
      <c r="R84" s="18">
        <v>5568.72</v>
      </c>
      <c r="S84" s="17">
        <v>6.8000000000000005E-4</v>
      </c>
      <c r="T84" s="4">
        <v>-7.0600000000000003E-3</v>
      </c>
    </row>
    <row r="85" spans="1:20" x14ac:dyDescent="0.3">
      <c r="A85" s="11">
        <v>-9.0499999999999997E-2</v>
      </c>
      <c r="B85" s="11">
        <v>1.044</v>
      </c>
      <c r="C85" s="11">
        <v>0.22295000000000001</v>
      </c>
      <c r="D85" s="11">
        <v>0.22295000000000001</v>
      </c>
      <c r="E85" s="11">
        <v>0.56657000000000002</v>
      </c>
      <c r="F85" s="11">
        <v>0.90480000000000005</v>
      </c>
      <c r="G85" s="11">
        <v>1E-4</v>
      </c>
      <c r="H85" s="11">
        <v>1.0604</v>
      </c>
      <c r="I85" s="13">
        <v>1.026</v>
      </c>
      <c r="J85" s="11">
        <v>6</v>
      </c>
      <c r="K85" s="11">
        <v>20</v>
      </c>
      <c r="L85" s="11">
        <v>2550120</v>
      </c>
      <c r="M85" s="11">
        <v>1.2255499999999999</v>
      </c>
      <c r="N85" s="23">
        <v>54210000</v>
      </c>
      <c r="O85" s="11">
        <v>53.326300000000003</v>
      </c>
      <c r="P85" s="18">
        <v>-616.30499999999995</v>
      </c>
      <c r="Q85" s="18">
        <v>-7.0000000000000007E-2</v>
      </c>
      <c r="R85" s="18">
        <v>8509.74</v>
      </c>
      <c r="S85" s="17">
        <v>4.2999999999999999E-4</v>
      </c>
      <c r="T85" s="4">
        <v>-4.9199999999999999E-3</v>
      </c>
    </row>
    <row r="86" spans="1:20" x14ac:dyDescent="0.3">
      <c r="A86" s="11">
        <v>-7.6100000000000001E-2</v>
      </c>
      <c r="B86" s="11">
        <v>0.98980000000000001</v>
      </c>
      <c r="C86" s="11">
        <v>0.21493999999999999</v>
      </c>
      <c r="D86" s="11">
        <v>0.21493999999999999</v>
      </c>
      <c r="E86" s="11">
        <v>0.54051000000000005</v>
      </c>
      <c r="F86" s="11">
        <v>0.85660000000000003</v>
      </c>
      <c r="G86" s="11">
        <v>1E-4</v>
      </c>
      <c r="H86" s="11">
        <v>1.0565</v>
      </c>
      <c r="I86" s="13">
        <v>1.026</v>
      </c>
      <c r="J86" s="11">
        <v>7.9999900000000004</v>
      </c>
      <c r="K86" s="11">
        <v>20</v>
      </c>
      <c r="L86" s="11">
        <v>4533660</v>
      </c>
      <c r="M86" s="11">
        <v>1.2255799999999999</v>
      </c>
      <c r="N86" s="23">
        <v>72280000</v>
      </c>
      <c r="O86" s="11">
        <v>65.116299999999995</v>
      </c>
      <c r="P86" s="18">
        <v>-892.87099999999998</v>
      </c>
      <c r="Q86" s="18">
        <v>-7.0000000000000007E-2</v>
      </c>
      <c r="R86" s="18">
        <v>12032.5</v>
      </c>
      <c r="S86" s="17">
        <v>2.9E-4</v>
      </c>
      <c r="T86" s="4">
        <v>-4.0099999999999997E-3</v>
      </c>
    </row>
    <row r="87" spans="1:20" x14ac:dyDescent="0.3">
      <c r="A87" s="11">
        <v>-6.7599999999999993E-2</v>
      </c>
      <c r="B87" s="11">
        <v>0.96140000000000003</v>
      </c>
      <c r="C87" s="11">
        <v>0.21051</v>
      </c>
      <c r="D87" s="11">
        <v>0.21051</v>
      </c>
      <c r="E87" s="11">
        <v>0.52664</v>
      </c>
      <c r="F87" s="11">
        <v>0.83140000000000003</v>
      </c>
      <c r="G87" s="11">
        <v>1E-4</v>
      </c>
      <c r="H87" s="11">
        <v>1.0539000000000001</v>
      </c>
      <c r="I87" s="11">
        <v>1.026</v>
      </c>
      <c r="J87" s="11">
        <v>9.9999900000000004</v>
      </c>
      <c r="K87" s="11">
        <v>20</v>
      </c>
      <c r="L87" s="11">
        <v>7083990</v>
      </c>
      <c r="M87" s="11">
        <v>1.2256100000000001</v>
      </c>
      <c r="N87" s="23">
        <v>90350000</v>
      </c>
      <c r="O87" s="11">
        <v>72.433599999999998</v>
      </c>
      <c r="P87" s="18">
        <v>-1242.9000000000001</v>
      </c>
      <c r="Q87" s="18">
        <v>-7.0000000000000007E-2</v>
      </c>
      <c r="R87" s="18">
        <v>16373.4</v>
      </c>
      <c r="S87" s="17">
        <v>2.1000000000000001E-4</v>
      </c>
      <c r="T87" s="4">
        <v>-3.5699999999999998E-3</v>
      </c>
    </row>
    <row r="89" spans="1:20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19"/>
    </row>
    <row r="90" spans="1:20" ht="23.4" x14ac:dyDescent="0.3">
      <c r="A90" s="27" t="s">
        <v>26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20" ht="18" x14ac:dyDescent="0.3">
      <c r="A91" s="12" t="s">
        <v>31</v>
      </c>
      <c r="B91" s="12" t="s">
        <v>32</v>
      </c>
      <c r="C91" s="12" t="s">
        <v>33</v>
      </c>
      <c r="D91" s="12" t="s">
        <v>44</v>
      </c>
      <c r="E91" s="12" t="s">
        <v>34</v>
      </c>
      <c r="F91" s="12" t="s">
        <v>35</v>
      </c>
      <c r="G91" s="12" t="s">
        <v>36</v>
      </c>
      <c r="H91" s="12" t="s">
        <v>37</v>
      </c>
      <c r="I91" s="12" t="s">
        <v>38</v>
      </c>
      <c r="J91" s="12" t="s">
        <v>39</v>
      </c>
      <c r="K91" s="12" t="s">
        <v>40</v>
      </c>
      <c r="L91" s="12" t="s">
        <v>41</v>
      </c>
      <c r="M91" s="12" t="s">
        <v>42</v>
      </c>
      <c r="N91" s="12" t="s">
        <v>43</v>
      </c>
      <c r="O91" s="16" t="s">
        <v>45</v>
      </c>
      <c r="P91" s="16" t="s">
        <v>46</v>
      </c>
      <c r="Q91" s="16" t="s">
        <v>47</v>
      </c>
      <c r="R91" s="16" t="s">
        <v>48</v>
      </c>
      <c r="S91" s="16" t="s">
        <v>51</v>
      </c>
      <c r="T91" s="4" t="s">
        <v>52</v>
      </c>
    </row>
    <row r="92" spans="1:20" x14ac:dyDescent="0.3">
      <c r="A92" s="11">
        <v>-5.4199999999999998E-2</v>
      </c>
      <c r="B92" s="11">
        <v>5.8900000000000001E-2</v>
      </c>
      <c r="C92" s="11">
        <v>0.17360999999999999</v>
      </c>
      <c r="D92" s="11">
        <v>0.17360999999999999</v>
      </c>
      <c r="E92" s="11">
        <v>0.17360999999999999</v>
      </c>
      <c r="F92" s="11">
        <v>5.8900000000000001E-2</v>
      </c>
      <c r="G92" s="11">
        <v>-1E-4</v>
      </c>
      <c r="H92" s="11">
        <v>1.3912</v>
      </c>
      <c r="I92" s="13">
        <v>1.026</v>
      </c>
      <c r="J92" s="11">
        <v>0.3</v>
      </c>
      <c r="K92" s="11">
        <v>0</v>
      </c>
      <c r="L92" s="11">
        <v>6374.72</v>
      </c>
      <c r="M92" s="11">
        <v>1.22543</v>
      </c>
      <c r="N92" s="23">
        <v>2710000</v>
      </c>
      <c r="O92" s="11">
        <v>0.38229999999999997</v>
      </c>
      <c r="P92" s="18">
        <v>-0.84219999999999995</v>
      </c>
      <c r="Q92" s="18">
        <v>-7.0000000000000007E-2</v>
      </c>
      <c r="R92" s="18">
        <v>11.9275</v>
      </c>
      <c r="S92" s="17">
        <v>1.2199999999999999E-3</v>
      </c>
      <c r="T92" s="4">
        <v>-2.6900000000000001E-3</v>
      </c>
    </row>
    <row r="93" spans="1:20" x14ac:dyDescent="0.3">
      <c r="A93" s="11">
        <v>-5.67E-2</v>
      </c>
      <c r="B93" s="11">
        <v>6.1899999999999997E-2</v>
      </c>
      <c r="C93" s="11">
        <v>0.17688000000000001</v>
      </c>
      <c r="D93" s="11">
        <v>0.17688000000000001</v>
      </c>
      <c r="E93" s="11">
        <v>0.17688000000000001</v>
      </c>
      <c r="F93" s="11">
        <v>6.1899999999999997E-2</v>
      </c>
      <c r="G93" s="11">
        <v>-1E-4</v>
      </c>
      <c r="H93" s="11">
        <v>1.3894</v>
      </c>
      <c r="I93" s="13">
        <v>1.026</v>
      </c>
      <c r="J93" s="11">
        <v>0.5</v>
      </c>
      <c r="K93" s="11">
        <v>0</v>
      </c>
      <c r="L93" s="11">
        <v>17707.599999999999</v>
      </c>
      <c r="M93" s="11">
        <v>1.22543</v>
      </c>
      <c r="N93" s="23">
        <v>4517000</v>
      </c>
      <c r="O93" s="11">
        <v>1.0852999999999999</v>
      </c>
      <c r="P93" s="18">
        <v>-2.4371</v>
      </c>
      <c r="Q93" s="18">
        <v>-7.0000000000000007E-2</v>
      </c>
      <c r="R93" s="18">
        <v>34.581899999999997</v>
      </c>
      <c r="S93" s="17">
        <v>1.25E-3</v>
      </c>
      <c r="T93" s="4">
        <v>-2.8E-3</v>
      </c>
    </row>
    <row r="94" spans="1:20" x14ac:dyDescent="0.3">
      <c r="A94" s="11">
        <v>-6.9699999999999998E-2</v>
      </c>
      <c r="B94" s="11">
        <v>7.3599999999999999E-2</v>
      </c>
      <c r="C94" s="11">
        <v>0.21868000000000001</v>
      </c>
      <c r="D94" s="11">
        <v>0.21868000000000001</v>
      </c>
      <c r="E94" s="11">
        <v>0.21868000000000001</v>
      </c>
      <c r="F94" s="11">
        <v>7.3599999999999999E-2</v>
      </c>
      <c r="G94" s="11">
        <v>0</v>
      </c>
      <c r="H94" s="11">
        <v>1.4016999999999999</v>
      </c>
      <c r="I94" s="13">
        <v>1.026</v>
      </c>
      <c r="J94" s="11">
        <v>0.80001999999999995</v>
      </c>
      <c r="K94" s="11">
        <v>0</v>
      </c>
      <c r="L94" s="11">
        <v>45333.5</v>
      </c>
      <c r="M94" s="11">
        <v>1.2254499999999999</v>
      </c>
      <c r="N94" s="23">
        <v>7227000</v>
      </c>
      <c r="O94" s="11">
        <v>2.5487000000000002</v>
      </c>
      <c r="P94" s="18">
        <v>-7.3731999999999998</v>
      </c>
      <c r="Q94" s="18">
        <v>-7.0000000000000007E-2</v>
      </c>
      <c r="R94" s="18">
        <v>104.14400000000001</v>
      </c>
      <c r="S94" s="17">
        <v>1.14E-3</v>
      </c>
      <c r="T94" s="4">
        <v>-3.31E-3</v>
      </c>
    </row>
    <row r="95" spans="1:20" x14ac:dyDescent="0.3">
      <c r="A95" s="11">
        <v>-6.2100000000000002E-2</v>
      </c>
      <c r="B95" s="11">
        <v>6.1699999999999998E-2</v>
      </c>
      <c r="C95" s="11">
        <v>0.41333999999999999</v>
      </c>
      <c r="D95" s="11">
        <v>0.41333999999999999</v>
      </c>
      <c r="E95" s="11">
        <v>0.41333999999999999</v>
      </c>
      <c r="F95" s="11">
        <v>6.1699999999999998E-2</v>
      </c>
      <c r="G95" s="11">
        <v>-1E-4</v>
      </c>
      <c r="H95" s="11">
        <v>1.4252</v>
      </c>
      <c r="I95" s="11">
        <v>1.026</v>
      </c>
      <c r="J95" s="11">
        <v>1.1997199999999999</v>
      </c>
      <c r="K95" s="11">
        <v>0</v>
      </c>
      <c r="L95" s="11">
        <v>102051</v>
      </c>
      <c r="M95" s="11">
        <v>1.2266600000000001</v>
      </c>
      <c r="N95" s="23">
        <v>10850000</v>
      </c>
      <c r="O95" s="11">
        <v>3.4746000000000001</v>
      </c>
      <c r="P95" s="18">
        <v>-14.595499999999999</v>
      </c>
      <c r="Q95" s="18">
        <v>-7.0000000000000007E-2</v>
      </c>
      <c r="R95" s="18">
        <v>202.24700000000001</v>
      </c>
      <c r="S95" s="17">
        <v>6.8999999999999997E-4</v>
      </c>
      <c r="T95" s="4">
        <v>-2.9099999999999998E-3</v>
      </c>
    </row>
    <row r="96" spans="1:20" x14ac:dyDescent="0.3">
      <c r="A96" s="11">
        <v>-3.7900000000000003E-2</v>
      </c>
      <c r="B96" s="11">
        <v>3.7400000000000003E-2</v>
      </c>
      <c r="C96" s="11">
        <v>0.29674</v>
      </c>
      <c r="D96" s="11">
        <v>0.29674</v>
      </c>
      <c r="E96" s="11">
        <v>0.29674</v>
      </c>
      <c r="F96" s="11">
        <v>3.7400000000000003E-2</v>
      </c>
      <c r="G96" s="11">
        <v>0</v>
      </c>
      <c r="H96" s="11">
        <v>1.4282999999999999</v>
      </c>
      <c r="I96" s="11">
        <v>1.026</v>
      </c>
      <c r="J96" s="11">
        <v>1.99997</v>
      </c>
      <c r="K96" s="11">
        <v>0</v>
      </c>
      <c r="L96" s="11">
        <v>283346</v>
      </c>
      <c r="M96" s="11">
        <v>1.2255799999999999</v>
      </c>
      <c r="N96" s="23">
        <v>18070000</v>
      </c>
      <c r="O96" s="11">
        <v>4.8120000000000003</v>
      </c>
      <c r="P96" s="18">
        <v>-31.312100000000001</v>
      </c>
      <c r="Q96" s="18">
        <v>-7.0000000000000007E-2</v>
      </c>
      <c r="R96" s="18">
        <v>420.577</v>
      </c>
      <c r="S96" s="17">
        <v>3.5E-4</v>
      </c>
      <c r="T96" s="4">
        <v>-2.2499999999999998E-3</v>
      </c>
    </row>
    <row r="97" spans="1:20" x14ac:dyDescent="0.3">
      <c r="A97" s="11">
        <v>-2.06E-2</v>
      </c>
      <c r="B97" s="11">
        <v>2.0500000000000001E-2</v>
      </c>
      <c r="C97" s="11">
        <v>0.16822999999999999</v>
      </c>
      <c r="D97" s="11">
        <v>0.16822999999999999</v>
      </c>
      <c r="E97" s="11">
        <v>0.16822999999999999</v>
      </c>
      <c r="F97" s="11">
        <v>2.0500000000000001E-2</v>
      </c>
      <c r="G97" s="11">
        <v>0</v>
      </c>
      <c r="H97" s="11">
        <v>1.4258999999999999</v>
      </c>
      <c r="I97" s="11">
        <v>1.026</v>
      </c>
      <c r="J97" s="11">
        <v>4</v>
      </c>
      <c r="K97" s="11">
        <v>0</v>
      </c>
      <c r="L97" s="11">
        <v>1133280</v>
      </c>
      <c r="M97" s="11">
        <v>1.2254400000000001</v>
      </c>
      <c r="N97" s="23">
        <v>36140000</v>
      </c>
      <c r="O97" s="11">
        <v>11.122299999999999</v>
      </c>
      <c r="P97" s="18">
        <v>-73.127099999999999</v>
      </c>
      <c r="Q97" s="18">
        <v>-7.0000000000000007E-2</v>
      </c>
      <c r="R97" s="18">
        <v>988.57799999999997</v>
      </c>
      <c r="S97" s="17">
        <v>2.0000000000000001E-4</v>
      </c>
      <c r="T97" s="4">
        <v>-1.31E-3</v>
      </c>
    </row>
    <row r="98" spans="1:20" x14ac:dyDescent="0.3">
      <c r="A98" s="11">
        <v>-1.6899999999999998E-2</v>
      </c>
      <c r="B98" s="11">
        <v>1.6899999999999998E-2</v>
      </c>
      <c r="C98" s="11">
        <v>0.14029</v>
      </c>
      <c r="D98" s="11">
        <v>0.14029</v>
      </c>
      <c r="E98" s="11">
        <v>0.14029</v>
      </c>
      <c r="F98" s="11">
        <v>1.6899999999999998E-2</v>
      </c>
      <c r="G98" s="11">
        <v>-1E-4</v>
      </c>
      <c r="H98" s="11">
        <v>1.4252</v>
      </c>
      <c r="I98" s="11">
        <v>1.026</v>
      </c>
      <c r="J98" s="11">
        <v>6</v>
      </c>
      <c r="K98" s="11">
        <v>0</v>
      </c>
      <c r="L98" s="11">
        <v>2549870</v>
      </c>
      <c r="M98" s="11">
        <v>1.22543</v>
      </c>
      <c r="N98" s="23">
        <v>54200000</v>
      </c>
      <c r="O98" s="11">
        <v>24.435600000000001</v>
      </c>
      <c r="P98" s="18">
        <v>-142.40199999999999</v>
      </c>
      <c r="Q98" s="18">
        <v>-7.0000000000000007E-2</v>
      </c>
      <c r="R98" s="18">
        <v>1862.64</v>
      </c>
      <c r="S98" s="17">
        <v>2.0000000000000001E-4</v>
      </c>
      <c r="T98" s="4">
        <v>-1.14E-3</v>
      </c>
    </row>
    <row r="99" spans="1:20" x14ac:dyDescent="0.3">
      <c r="A99" s="11">
        <v>-1.52E-2</v>
      </c>
      <c r="B99" s="11">
        <v>1.54E-2</v>
      </c>
      <c r="C99" s="11">
        <v>0.12759999999999999</v>
      </c>
      <c r="D99" s="11">
        <v>0.12759999999999999</v>
      </c>
      <c r="E99" s="11">
        <v>0.12759999999999999</v>
      </c>
      <c r="F99" s="11">
        <v>1.54E-2</v>
      </c>
      <c r="G99" s="11">
        <v>-1E-4</v>
      </c>
      <c r="H99" s="11">
        <v>1.4184000000000001</v>
      </c>
      <c r="I99" s="11">
        <v>1.026</v>
      </c>
      <c r="J99" s="11">
        <v>8</v>
      </c>
      <c r="K99" s="11">
        <v>0</v>
      </c>
      <c r="L99" s="11">
        <v>4533110</v>
      </c>
      <c r="M99" s="11">
        <v>1.22543</v>
      </c>
      <c r="N99" s="23">
        <v>72270000</v>
      </c>
      <c r="O99" s="11">
        <v>43.641399999999997</v>
      </c>
      <c r="P99" s="18">
        <v>-228.22900000000001</v>
      </c>
      <c r="Q99" s="18">
        <v>-7.0000000000000007E-2</v>
      </c>
      <c r="R99" s="18">
        <v>3043.34</v>
      </c>
      <c r="S99" s="17">
        <v>2.0000000000000001E-4</v>
      </c>
      <c r="T99" s="4">
        <v>-1.0200000000000001E-3</v>
      </c>
    </row>
    <row r="100" spans="1:20" x14ac:dyDescent="0.3">
      <c r="A100" s="11">
        <v>-1.41E-2</v>
      </c>
      <c r="B100" s="11">
        <v>1.4500000000000001E-2</v>
      </c>
      <c r="C100" s="11">
        <v>0.12071</v>
      </c>
      <c r="D100" s="11">
        <v>0.12071</v>
      </c>
      <c r="E100" s="11">
        <v>0.12071</v>
      </c>
      <c r="F100" s="11">
        <v>1.4500000000000001E-2</v>
      </c>
      <c r="G100" s="11">
        <v>-1E-4</v>
      </c>
      <c r="H100" s="11">
        <v>1.4119999999999999</v>
      </c>
      <c r="I100" s="11">
        <v>1.026</v>
      </c>
      <c r="J100" s="11">
        <v>10</v>
      </c>
      <c r="K100" s="11">
        <v>0</v>
      </c>
      <c r="L100" s="11">
        <v>7082970</v>
      </c>
      <c r="M100" s="11">
        <v>1.22543</v>
      </c>
      <c r="N100" s="23">
        <v>90340000</v>
      </c>
      <c r="O100" s="11">
        <v>71.502200000000002</v>
      </c>
      <c r="P100" s="18">
        <v>-339.80099999999999</v>
      </c>
      <c r="Q100" s="18">
        <v>-7.0000000000000007E-2</v>
      </c>
      <c r="R100" s="18">
        <v>4511.2299999999996</v>
      </c>
      <c r="S100" s="17">
        <v>2.1000000000000001E-4</v>
      </c>
      <c r="T100" s="4">
        <v>-9.7999999999999997E-4</v>
      </c>
    </row>
    <row r="104" spans="1:20" ht="18" customHeight="1" x14ac:dyDescent="0.3">
      <c r="A104" s="12" t="s">
        <v>31</v>
      </c>
      <c r="B104" s="12" t="s">
        <v>32</v>
      </c>
      <c r="C104" s="12" t="s">
        <v>33</v>
      </c>
      <c r="D104" s="12" t="s">
        <v>44</v>
      </c>
      <c r="E104" s="12" t="s">
        <v>34</v>
      </c>
      <c r="F104" s="12" t="s">
        <v>35</v>
      </c>
      <c r="G104" s="12" t="s">
        <v>36</v>
      </c>
      <c r="H104" s="12" t="s">
        <v>37</v>
      </c>
      <c r="I104" s="12" t="s">
        <v>38</v>
      </c>
      <c r="J104" s="12" t="s">
        <v>39</v>
      </c>
      <c r="K104" s="12" t="s">
        <v>40</v>
      </c>
      <c r="L104" s="12" t="s">
        <v>41</v>
      </c>
      <c r="M104" s="12" t="s">
        <v>42</v>
      </c>
      <c r="N104" s="12" t="s">
        <v>43</v>
      </c>
      <c r="O104" s="16" t="s">
        <v>45</v>
      </c>
      <c r="P104" s="16" t="s">
        <v>46</v>
      </c>
      <c r="Q104" s="16" t="s">
        <v>47</v>
      </c>
      <c r="R104" s="16" t="s">
        <v>48</v>
      </c>
      <c r="S104" s="16" t="s">
        <v>51</v>
      </c>
      <c r="T104" s="22" t="s">
        <v>52</v>
      </c>
    </row>
    <row r="105" spans="1:20" x14ac:dyDescent="0.3">
      <c r="A105" s="11">
        <v>-0.10879999999999999</v>
      </c>
      <c r="B105" s="11">
        <v>0.11799999999999999</v>
      </c>
      <c r="C105" s="11">
        <v>0.17813000000000001</v>
      </c>
      <c r="D105" s="11">
        <v>0.17813000000000001</v>
      </c>
      <c r="E105" s="11">
        <v>0.17813000000000001</v>
      </c>
      <c r="F105" s="11">
        <v>0.11799999999999999</v>
      </c>
      <c r="G105" s="11">
        <v>0</v>
      </c>
      <c r="H105" s="11">
        <v>1.3922000000000001</v>
      </c>
      <c r="I105" s="13">
        <v>1.026</v>
      </c>
      <c r="J105" s="11">
        <v>0.3</v>
      </c>
      <c r="K105" s="11">
        <v>0</v>
      </c>
      <c r="L105" s="11">
        <v>6374.72</v>
      </c>
      <c r="M105" s="11">
        <v>1.22543</v>
      </c>
      <c r="N105" s="23">
        <v>2710000</v>
      </c>
      <c r="O105" s="11">
        <v>0.77459999999999996</v>
      </c>
      <c r="P105" s="18">
        <v>-1.6934</v>
      </c>
      <c r="Q105" s="18">
        <v>-7.0000000000000007E-2</v>
      </c>
      <c r="R105" s="18">
        <v>24.164300000000001</v>
      </c>
      <c r="S105" s="17">
        <v>2.47E-3</v>
      </c>
      <c r="T105" s="4">
        <v>-5.4099999999999999E-3</v>
      </c>
    </row>
    <row r="106" spans="1:20" x14ac:dyDescent="0.3">
      <c r="A106" s="11">
        <v>-0.1139</v>
      </c>
      <c r="B106" s="11">
        <v>0.1242</v>
      </c>
      <c r="C106" s="11">
        <v>0.18118999999999999</v>
      </c>
      <c r="D106" s="11">
        <v>0.18118999999999999</v>
      </c>
      <c r="E106" s="11">
        <v>0.18118999999999999</v>
      </c>
      <c r="F106" s="11">
        <v>0.1242</v>
      </c>
      <c r="G106" s="11">
        <v>0</v>
      </c>
      <c r="H106" s="11">
        <v>1.3898999999999999</v>
      </c>
      <c r="I106" s="13">
        <v>1.026</v>
      </c>
      <c r="J106" s="11">
        <v>0.5</v>
      </c>
      <c r="K106" s="11">
        <v>0</v>
      </c>
      <c r="L106" s="11">
        <v>17707.599999999999</v>
      </c>
      <c r="M106" s="11">
        <v>1.22543</v>
      </c>
      <c r="N106" s="23">
        <v>4517000</v>
      </c>
      <c r="O106" s="11">
        <v>2.1987999999999999</v>
      </c>
      <c r="P106" s="18">
        <v>-4.9142999999999999</v>
      </c>
      <c r="Q106" s="18">
        <v>-7.0000000000000007E-2</v>
      </c>
      <c r="R106" s="18">
        <v>70.239400000000003</v>
      </c>
      <c r="S106" s="17">
        <v>2.5300000000000001E-3</v>
      </c>
      <c r="T106" s="4">
        <v>-5.6499999999999996E-3</v>
      </c>
    </row>
    <row r="107" spans="1:20" x14ac:dyDescent="0.3">
      <c r="A107" s="11">
        <v>-0.14149999999999999</v>
      </c>
      <c r="B107" s="11">
        <v>0.14940000000000001</v>
      </c>
      <c r="C107" s="11">
        <v>0.22513</v>
      </c>
      <c r="D107" s="11">
        <v>0.22513</v>
      </c>
      <c r="E107" s="11">
        <v>0.22513</v>
      </c>
      <c r="F107" s="11">
        <v>0.14940000000000001</v>
      </c>
      <c r="G107" s="11">
        <v>0</v>
      </c>
      <c r="H107" s="11">
        <v>1.4020999999999999</v>
      </c>
      <c r="I107" s="13">
        <v>1.026</v>
      </c>
      <c r="J107" s="11">
        <v>0.80001999999999995</v>
      </c>
      <c r="K107" s="11">
        <v>0</v>
      </c>
      <c r="L107" s="11">
        <v>45333.5</v>
      </c>
      <c r="M107" s="11">
        <v>1.2254499999999999</v>
      </c>
      <c r="N107" s="23">
        <v>7227000</v>
      </c>
      <c r="O107" s="11">
        <v>5.2263999999999999</v>
      </c>
      <c r="P107" s="18">
        <v>-15.0098</v>
      </c>
      <c r="Q107" s="18">
        <v>-7.0000000000000007E-2</v>
      </c>
      <c r="R107" s="18">
        <v>213.18600000000001</v>
      </c>
      <c r="S107" s="17">
        <v>2.3500000000000001E-3</v>
      </c>
      <c r="T107" s="4">
        <v>-6.7400000000000003E-3</v>
      </c>
    </row>
    <row r="108" spans="1:20" x14ac:dyDescent="0.3">
      <c r="A108" s="11">
        <v>-0.1275</v>
      </c>
      <c r="B108" s="11">
        <v>0.1265</v>
      </c>
      <c r="C108" s="11">
        <v>0.42324000000000001</v>
      </c>
      <c r="D108" s="11">
        <v>0.42324000000000001</v>
      </c>
      <c r="E108" s="11">
        <v>0.42324000000000001</v>
      </c>
      <c r="F108" s="11">
        <v>0.1265</v>
      </c>
      <c r="G108" s="11">
        <v>0</v>
      </c>
      <c r="H108" s="11">
        <v>1.4259999999999999</v>
      </c>
      <c r="I108" s="13">
        <v>1.026</v>
      </c>
      <c r="J108" s="11">
        <v>1.1996599999999999</v>
      </c>
      <c r="K108" s="11">
        <v>0</v>
      </c>
      <c r="L108" s="11">
        <v>102069</v>
      </c>
      <c r="M108" s="11">
        <v>1.22702</v>
      </c>
      <c r="N108" s="23">
        <v>10850000</v>
      </c>
      <c r="O108" s="11">
        <v>6.9119999999999999</v>
      </c>
      <c r="P108" s="18">
        <v>-29.915199999999999</v>
      </c>
      <c r="Q108" s="18">
        <v>-7.0000000000000007E-2</v>
      </c>
      <c r="R108" s="18">
        <v>416.28100000000001</v>
      </c>
      <c r="S108" s="17">
        <v>1.3799999999999999E-3</v>
      </c>
      <c r="T108" s="4">
        <v>-5.96E-3</v>
      </c>
    </row>
    <row r="109" spans="1:20" x14ac:dyDescent="0.3">
      <c r="A109" s="11">
        <v>-7.6899999999999996E-2</v>
      </c>
      <c r="B109" s="11">
        <v>7.5700000000000003E-2</v>
      </c>
      <c r="C109" s="11">
        <v>0.30470000000000003</v>
      </c>
      <c r="D109" s="11">
        <v>0.30470000000000003</v>
      </c>
      <c r="E109" s="11">
        <v>0.30470000000000003</v>
      </c>
      <c r="F109" s="11">
        <v>7.5700000000000003E-2</v>
      </c>
      <c r="G109" s="11">
        <v>0</v>
      </c>
      <c r="H109" s="11">
        <v>1.4296</v>
      </c>
      <c r="I109" s="13">
        <v>1.026</v>
      </c>
      <c r="J109" s="11">
        <v>1.99997</v>
      </c>
      <c r="K109" s="11">
        <v>0</v>
      </c>
      <c r="L109" s="11">
        <v>283347</v>
      </c>
      <c r="M109" s="11">
        <v>1.22559</v>
      </c>
      <c r="N109" s="23">
        <v>18070000</v>
      </c>
      <c r="O109" s="11">
        <v>9.4024000000000001</v>
      </c>
      <c r="P109" s="18">
        <v>-62.752600000000001</v>
      </c>
      <c r="Q109" s="18">
        <v>-7.0000000000000007E-2</v>
      </c>
      <c r="R109" s="18">
        <v>849.99400000000003</v>
      </c>
      <c r="S109" s="17">
        <v>6.8000000000000005E-4</v>
      </c>
      <c r="T109" s="4">
        <v>-4.5100000000000001E-3</v>
      </c>
    </row>
    <row r="110" spans="1:20" s="10" customFormat="1" x14ac:dyDescent="0.3">
      <c r="A110" s="11">
        <v>-3.5099999999999999E-2</v>
      </c>
      <c r="B110" s="11">
        <v>3.5099999999999999E-2</v>
      </c>
      <c r="C110" s="11">
        <v>0.14387</v>
      </c>
      <c r="D110" s="11">
        <v>0.14387</v>
      </c>
      <c r="E110" s="11">
        <v>0.14387</v>
      </c>
      <c r="F110" s="11">
        <v>3.5099999999999999E-2</v>
      </c>
      <c r="G110" s="11">
        <v>0</v>
      </c>
      <c r="H110" s="11">
        <v>1.4236</v>
      </c>
      <c r="I110" s="13">
        <v>1.026</v>
      </c>
      <c r="J110" s="11">
        <v>6</v>
      </c>
      <c r="K110" s="11">
        <v>0</v>
      </c>
      <c r="L110" s="11">
        <v>2549870</v>
      </c>
      <c r="M110" s="11">
        <v>1.22543</v>
      </c>
      <c r="N110" s="23">
        <v>54200000</v>
      </c>
      <c r="O110" s="11">
        <v>48.935400000000001</v>
      </c>
      <c r="P110" s="18">
        <v>-277.34899999999999</v>
      </c>
      <c r="Q110" s="18">
        <v>-7.0000000000000007E-2</v>
      </c>
      <c r="R110" s="18">
        <v>3818.82</v>
      </c>
      <c r="S110" s="17">
        <v>3.8999999999999999E-4</v>
      </c>
      <c r="T110" s="4">
        <v>-2.2100000000000002E-3</v>
      </c>
    </row>
    <row r="111" spans="1:20" x14ac:dyDescent="0.3">
      <c r="A111" s="11">
        <v>-4.2799999999999998E-2</v>
      </c>
      <c r="B111" s="11">
        <v>4.24E-2</v>
      </c>
      <c r="C111" s="11">
        <v>0.17227999999999999</v>
      </c>
      <c r="D111" s="11">
        <v>0.17227999999999999</v>
      </c>
      <c r="E111" s="11">
        <v>0.17227999999999999</v>
      </c>
      <c r="F111" s="11">
        <v>4.24E-2</v>
      </c>
      <c r="G111" s="11">
        <v>0</v>
      </c>
      <c r="H111" s="11">
        <v>1.4263999999999999</v>
      </c>
      <c r="I111" s="13">
        <v>1.026</v>
      </c>
      <c r="J111" s="11">
        <v>4</v>
      </c>
      <c r="K111" s="11">
        <v>0</v>
      </c>
      <c r="L111" s="11">
        <v>1133280</v>
      </c>
      <c r="M111" s="11">
        <v>1.2254400000000001</v>
      </c>
      <c r="N111" s="23">
        <v>36140000</v>
      </c>
      <c r="O111" s="11">
        <v>21.810600000000001</v>
      </c>
      <c r="P111" s="18">
        <v>-148.346</v>
      </c>
      <c r="Q111" s="18">
        <v>-7.0000000000000007E-2</v>
      </c>
      <c r="R111" s="18">
        <v>2018.65</v>
      </c>
      <c r="S111" s="17">
        <v>3.8999999999999999E-4</v>
      </c>
      <c r="T111" s="4">
        <v>-2.66E-3</v>
      </c>
    </row>
    <row r="112" spans="1:20" x14ac:dyDescent="0.3">
      <c r="A112" s="11">
        <v>-3.2199999999999999E-2</v>
      </c>
      <c r="B112" s="11">
        <v>3.2399999999999998E-2</v>
      </c>
      <c r="C112" s="11">
        <v>0.13120999999999999</v>
      </c>
      <c r="D112" s="11">
        <v>0.13120999999999999</v>
      </c>
      <c r="E112" s="11">
        <v>0.13120999999999999</v>
      </c>
      <c r="F112" s="11">
        <v>3.2399999999999998E-2</v>
      </c>
      <c r="G112" s="11">
        <v>0</v>
      </c>
      <c r="H112" s="11">
        <v>1.4211</v>
      </c>
      <c r="I112" s="13">
        <v>1.026</v>
      </c>
      <c r="J112" s="11">
        <v>8</v>
      </c>
      <c r="K112" s="11">
        <v>0</v>
      </c>
      <c r="L112" s="11">
        <v>4533100</v>
      </c>
      <c r="M112" s="11">
        <v>1.22543</v>
      </c>
      <c r="N112" s="23">
        <v>72270000</v>
      </c>
      <c r="O112" s="11">
        <v>90.206900000000005</v>
      </c>
      <c r="P112" s="18">
        <v>-481.779</v>
      </c>
      <c r="Q112" s="18">
        <v>-7.0000000000000007E-2</v>
      </c>
      <c r="R112" s="18">
        <v>6271.75</v>
      </c>
      <c r="S112" s="17">
        <v>4.0000000000000002E-4</v>
      </c>
      <c r="T112" s="4">
        <v>-2.16E-3</v>
      </c>
    </row>
    <row r="113" spans="1:20" x14ac:dyDescent="0.3">
      <c r="A113" s="11">
        <v>-3.04E-2</v>
      </c>
      <c r="B113" s="11">
        <v>3.0700000000000002E-2</v>
      </c>
      <c r="C113" s="11">
        <v>0.12421</v>
      </c>
      <c r="D113" s="11">
        <v>0.12421</v>
      </c>
      <c r="E113" s="11">
        <v>0.12421</v>
      </c>
      <c r="F113" s="11">
        <v>3.0700000000000002E-2</v>
      </c>
      <c r="G113" s="11">
        <v>0</v>
      </c>
      <c r="H113" s="11">
        <v>1.4198999999999999</v>
      </c>
      <c r="I113" s="13">
        <v>1.026</v>
      </c>
      <c r="J113" s="11">
        <v>10</v>
      </c>
      <c r="K113" s="11">
        <v>0</v>
      </c>
      <c r="L113" s="11">
        <v>7082970</v>
      </c>
      <c r="M113" s="11">
        <v>1.22543</v>
      </c>
      <c r="N113" s="23">
        <v>90340000</v>
      </c>
      <c r="O113" s="11">
        <v>144.654</v>
      </c>
      <c r="P113" s="18">
        <v>-719.53700000000003</v>
      </c>
      <c r="Q113" s="18">
        <v>-7.0000000000000007E-2</v>
      </c>
      <c r="R113" s="18">
        <v>9307.98</v>
      </c>
      <c r="S113" s="17">
        <v>4.2000000000000002E-4</v>
      </c>
      <c r="T113" s="4">
        <v>-2.0699999999999998E-3</v>
      </c>
    </row>
    <row r="114" spans="1:20" x14ac:dyDescent="0.3">
      <c r="I114" s="13"/>
    </row>
    <row r="115" spans="1:20" x14ac:dyDescent="0.3">
      <c r="I115" s="13"/>
    </row>
    <row r="118" spans="1:20" ht="18" x14ac:dyDescent="0.3">
      <c r="A118" s="12" t="s">
        <v>31</v>
      </c>
      <c r="B118" s="12" t="s">
        <v>32</v>
      </c>
      <c r="C118" s="12" t="s">
        <v>33</v>
      </c>
      <c r="D118" s="12" t="s">
        <v>44</v>
      </c>
      <c r="E118" s="12" t="s">
        <v>34</v>
      </c>
      <c r="F118" s="12" t="s">
        <v>35</v>
      </c>
      <c r="G118" s="12" t="s">
        <v>36</v>
      </c>
      <c r="H118" s="12" t="s">
        <v>37</v>
      </c>
      <c r="I118" s="12" t="s">
        <v>38</v>
      </c>
      <c r="J118" s="12" t="s">
        <v>39</v>
      </c>
      <c r="K118" s="12" t="s">
        <v>40</v>
      </c>
      <c r="L118" s="12" t="s">
        <v>41</v>
      </c>
      <c r="M118" s="12" t="s">
        <v>42</v>
      </c>
      <c r="N118" s="12" t="s">
        <v>43</v>
      </c>
      <c r="O118" s="16" t="s">
        <v>45</v>
      </c>
      <c r="P118" s="16" t="s">
        <v>46</v>
      </c>
      <c r="Q118" s="16" t="s">
        <v>47</v>
      </c>
      <c r="R118" s="16" t="s">
        <v>48</v>
      </c>
      <c r="S118" s="16" t="s">
        <v>51</v>
      </c>
      <c r="T118" s="22" t="s">
        <v>52</v>
      </c>
    </row>
    <row r="119" spans="1:20" x14ac:dyDescent="0.3">
      <c r="A119" s="11">
        <v>-0.22109999999999999</v>
      </c>
      <c r="B119" s="11">
        <v>0.24110000000000001</v>
      </c>
      <c r="C119" s="11">
        <v>0.19782</v>
      </c>
      <c r="D119" s="11">
        <v>0.19782</v>
      </c>
      <c r="E119" s="11">
        <v>0.19782</v>
      </c>
      <c r="F119" s="11">
        <v>0.24110000000000001</v>
      </c>
      <c r="G119" s="11">
        <v>-1E-4</v>
      </c>
      <c r="H119" s="11">
        <v>1.3898999999999999</v>
      </c>
      <c r="I119" s="13">
        <v>1.026</v>
      </c>
      <c r="J119" s="11">
        <v>0.3</v>
      </c>
      <c r="K119" s="11">
        <v>0</v>
      </c>
      <c r="L119" s="11">
        <v>6374.73</v>
      </c>
      <c r="M119" s="11">
        <v>1.22543</v>
      </c>
      <c r="N119" s="23">
        <v>2710000</v>
      </c>
      <c r="O119" s="11">
        <v>1.5592999999999999</v>
      </c>
      <c r="P119" s="18">
        <v>-3.44</v>
      </c>
      <c r="Q119" s="18">
        <v>-7.0000000000000007E-2</v>
      </c>
      <c r="R119" s="18">
        <v>49.401699999999998</v>
      </c>
      <c r="S119" s="17">
        <v>4.9800000000000001E-3</v>
      </c>
      <c r="T119" s="4">
        <v>-1.098E-2</v>
      </c>
    </row>
    <row r="120" spans="1:20" x14ac:dyDescent="0.3">
      <c r="A120" s="11">
        <v>-0.2334</v>
      </c>
      <c r="B120" s="11">
        <v>0.2545</v>
      </c>
      <c r="C120" s="11">
        <v>0.20052</v>
      </c>
      <c r="D120" s="11">
        <v>0.20052</v>
      </c>
      <c r="E120" s="11">
        <v>0.20052</v>
      </c>
      <c r="F120" s="11">
        <v>0.2545</v>
      </c>
      <c r="G120" s="11">
        <v>-1E-4</v>
      </c>
      <c r="H120" s="11">
        <v>1.3900999999999999</v>
      </c>
      <c r="I120" s="13">
        <v>1.026</v>
      </c>
      <c r="J120" s="11">
        <v>0.5</v>
      </c>
      <c r="K120" s="11">
        <v>0</v>
      </c>
      <c r="L120" s="11">
        <v>17707.7</v>
      </c>
      <c r="M120" s="11">
        <v>1.22543</v>
      </c>
      <c r="N120" s="23">
        <v>4517000</v>
      </c>
      <c r="O120" s="11">
        <v>4.4519000000000002</v>
      </c>
      <c r="P120" s="18">
        <v>-10.003500000000001</v>
      </c>
      <c r="Q120" s="18">
        <v>-7.0000000000000007E-2</v>
      </c>
      <c r="R120" s="18">
        <v>144.08699999999999</v>
      </c>
      <c r="S120" s="17">
        <v>5.1200000000000004E-3</v>
      </c>
      <c r="T120" s="4">
        <v>-1.15E-2</v>
      </c>
    </row>
    <row r="121" spans="1:20" x14ac:dyDescent="0.3">
      <c r="A121" s="11">
        <v>-0.29509999999999997</v>
      </c>
      <c r="B121" s="11">
        <v>0.31119999999999998</v>
      </c>
      <c r="C121" s="11">
        <v>0.251</v>
      </c>
      <c r="D121" s="11">
        <v>0.251</v>
      </c>
      <c r="E121" s="11">
        <v>0.251</v>
      </c>
      <c r="F121" s="11">
        <v>0.31119999999999998</v>
      </c>
      <c r="G121" s="11">
        <v>0</v>
      </c>
      <c r="H121" s="11">
        <v>1.4025000000000001</v>
      </c>
      <c r="I121" s="13">
        <v>1.026</v>
      </c>
      <c r="J121" s="11">
        <v>0.80001999999999995</v>
      </c>
      <c r="K121" s="11">
        <v>0</v>
      </c>
      <c r="L121" s="11">
        <v>45333.7</v>
      </c>
      <c r="M121" s="11">
        <v>1.2254499999999999</v>
      </c>
      <c r="N121" s="23">
        <v>7227000</v>
      </c>
      <c r="O121" s="11">
        <v>10.8611</v>
      </c>
      <c r="P121" s="18">
        <v>-31.2378</v>
      </c>
      <c r="Q121" s="18">
        <v>-7.0000000000000007E-2</v>
      </c>
      <c r="R121" s="18">
        <v>446.68799999999999</v>
      </c>
      <c r="S121" s="17">
        <v>4.8799999999999998E-3</v>
      </c>
      <c r="T121" s="4">
        <v>-1.4019999999999999E-2</v>
      </c>
    </row>
    <row r="122" spans="1:20" x14ac:dyDescent="0.3">
      <c r="A122" s="11">
        <v>-0.26269999999999999</v>
      </c>
      <c r="B122" s="11">
        <v>0.26140000000000002</v>
      </c>
      <c r="C122" s="11">
        <v>0.45834000000000003</v>
      </c>
      <c r="D122" s="11">
        <v>0.45834000000000003</v>
      </c>
      <c r="E122" s="11">
        <v>0.45834000000000003</v>
      </c>
      <c r="F122" s="11">
        <v>0.26140000000000002</v>
      </c>
      <c r="G122" s="11">
        <v>1E-4</v>
      </c>
      <c r="H122" s="11">
        <v>1.4249000000000001</v>
      </c>
      <c r="I122" s="13">
        <v>1.026</v>
      </c>
      <c r="J122" s="11">
        <v>1.1997199999999999</v>
      </c>
      <c r="K122" s="11">
        <v>0</v>
      </c>
      <c r="L122" s="11">
        <v>102052</v>
      </c>
      <c r="M122" s="11">
        <v>1.22668</v>
      </c>
      <c r="N122" s="23">
        <v>10850000</v>
      </c>
      <c r="O122" s="11">
        <v>13.121499999999999</v>
      </c>
      <c r="P122" s="18">
        <v>-62.671100000000003</v>
      </c>
      <c r="Q122" s="18">
        <v>-7.0000000000000007E-2</v>
      </c>
      <c r="R122" s="18">
        <v>861.49</v>
      </c>
      <c r="S122" s="17">
        <v>2.6199999999999999E-3</v>
      </c>
      <c r="T122" s="4">
        <v>-1.2500000000000001E-2</v>
      </c>
    </row>
    <row r="123" spans="1:20" x14ac:dyDescent="0.3">
      <c r="A123" s="11">
        <v>-0.1555</v>
      </c>
      <c r="B123" s="11">
        <v>0.1527</v>
      </c>
      <c r="C123" s="11">
        <v>0.32734000000000002</v>
      </c>
      <c r="D123" s="11">
        <v>0.32734000000000002</v>
      </c>
      <c r="E123" s="11">
        <v>0.32734000000000002</v>
      </c>
      <c r="F123" s="11">
        <v>0.1527</v>
      </c>
      <c r="G123" s="11">
        <v>1E-4</v>
      </c>
      <c r="H123" s="11">
        <v>1.4301999999999999</v>
      </c>
      <c r="I123" s="13">
        <v>1.026</v>
      </c>
      <c r="J123" s="11">
        <v>1.99997</v>
      </c>
      <c r="K123" s="11">
        <v>0</v>
      </c>
      <c r="L123" s="11">
        <v>283345</v>
      </c>
      <c r="M123" s="11">
        <v>1.2255799999999999</v>
      </c>
      <c r="N123" s="23">
        <v>18070000</v>
      </c>
      <c r="O123" s="11">
        <v>18.406500000000001</v>
      </c>
      <c r="P123" s="18">
        <v>-124.785</v>
      </c>
      <c r="Q123" s="18">
        <v>-7.0000000000000007E-2</v>
      </c>
      <c r="R123" s="18">
        <v>1709.42</v>
      </c>
      <c r="S123" s="17">
        <v>1.32E-3</v>
      </c>
      <c r="T123" s="4">
        <v>-8.9599999999999992E-3</v>
      </c>
    </row>
    <row r="124" spans="1:20" x14ac:dyDescent="0.3">
      <c r="A124" s="11">
        <v>-8.8900000000000007E-2</v>
      </c>
      <c r="B124" s="11">
        <v>8.8099999999999998E-2</v>
      </c>
      <c r="C124" s="11">
        <v>0.18761</v>
      </c>
      <c r="D124" s="11">
        <v>0.18761</v>
      </c>
      <c r="E124" s="11">
        <v>0.18761</v>
      </c>
      <c r="F124" s="11">
        <v>8.8099999999999998E-2</v>
      </c>
      <c r="G124" s="11">
        <v>0</v>
      </c>
      <c r="H124" s="11">
        <v>1.4269000000000001</v>
      </c>
      <c r="I124" s="13">
        <v>1.026</v>
      </c>
      <c r="J124" s="11">
        <v>4</v>
      </c>
      <c r="K124" s="11">
        <v>0</v>
      </c>
      <c r="L124" s="11">
        <v>1133280</v>
      </c>
      <c r="M124" s="11">
        <v>1.2254400000000001</v>
      </c>
      <c r="N124" s="23">
        <v>36140000</v>
      </c>
      <c r="O124" s="11">
        <v>43.312899999999999</v>
      </c>
      <c r="P124" s="18">
        <v>-308.20100000000002</v>
      </c>
      <c r="Q124" s="18">
        <v>-7.0000000000000007E-2</v>
      </c>
      <c r="R124" s="18">
        <v>4204.75</v>
      </c>
      <c r="S124" s="17">
        <v>7.7999999999999999E-4</v>
      </c>
      <c r="T124" s="4">
        <v>-5.5300000000000002E-3</v>
      </c>
    </row>
    <row r="125" spans="1:20" x14ac:dyDescent="0.3">
      <c r="A125" s="11">
        <v>-7.4899999999999994E-2</v>
      </c>
      <c r="B125" s="11">
        <v>7.4700000000000003E-2</v>
      </c>
      <c r="C125" s="11">
        <v>0.15756000000000001</v>
      </c>
      <c r="D125" s="11">
        <v>0.15756000000000001</v>
      </c>
      <c r="E125" s="11">
        <v>0.15756000000000001</v>
      </c>
      <c r="F125" s="11">
        <v>7.4700000000000003E-2</v>
      </c>
      <c r="G125" s="11">
        <v>0</v>
      </c>
      <c r="H125" s="11">
        <v>1.4239999999999999</v>
      </c>
      <c r="I125" s="13">
        <v>1.026</v>
      </c>
      <c r="J125" s="11">
        <v>6</v>
      </c>
      <c r="K125" s="11">
        <v>0</v>
      </c>
      <c r="L125" s="11">
        <v>2549880</v>
      </c>
      <c r="M125" s="11">
        <v>1.22543</v>
      </c>
      <c r="N125" s="23">
        <v>54200000</v>
      </c>
      <c r="O125" s="11">
        <v>98.623999999999995</v>
      </c>
      <c r="P125" s="18">
        <v>-610.16300000000001</v>
      </c>
      <c r="Q125" s="18">
        <v>-7.0000000000000007E-2</v>
      </c>
      <c r="R125" s="18">
        <v>8117.93</v>
      </c>
      <c r="S125" s="17">
        <v>7.9000000000000001E-4</v>
      </c>
      <c r="T125" s="4">
        <v>-4.8700000000000002E-3</v>
      </c>
    </row>
    <row r="126" spans="1:20" x14ac:dyDescent="0.3">
      <c r="A126" s="11">
        <v>-6.9699999999999998E-2</v>
      </c>
      <c r="B126" s="11">
        <v>6.9800000000000001E-2</v>
      </c>
      <c r="C126" s="11">
        <v>0.14421999999999999</v>
      </c>
      <c r="D126" s="11">
        <v>0.14421999999999999</v>
      </c>
      <c r="E126" s="11">
        <v>0.14421999999999999</v>
      </c>
      <c r="F126" s="11">
        <v>6.9800000000000001E-2</v>
      </c>
      <c r="G126" s="11">
        <v>0</v>
      </c>
      <c r="H126" s="11">
        <v>1.4222999999999999</v>
      </c>
      <c r="I126" s="13">
        <v>1.026</v>
      </c>
      <c r="J126" s="11">
        <v>8</v>
      </c>
      <c r="K126" s="11">
        <v>0</v>
      </c>
      <c r="L126" s="11">
        <v>4533100</v>
      </c>
      <c r="M126" s="11">
        <v>1.22543</v>
      </c>
      <c r="N126" s="23">
        <v>72270000</v>
      </c>
      <c r="O126" s="11">
        <v>181.42699999999999</v>
      </c>
      <c r="P126" s="18">
        <v>-1032.01</v>
      </c>
      <c r="Q126" s="18">
        <v>-7.0000000000000007E-2</v>
      </c>
      <c r="R126" s="18">
        <v>13578.9</v>
      </c>
      <c r="S126" s="17">
        <v>8.0999999999999996E-4</v>
      </c>
      <c r="T126" s="4">
        <v>-4.6299999999999996E-3</v>
      </c>
    </row>
    <row r="127" spans="1:20" x14ac:dyDescent="0.3">
      <c r="A127" s="11">
        <v>-6.6199999999999995E-2</v>
      </c>
      <c r="B127" s="11">
        <v>6.6699999999999995E-2</v>
      </c>
      <c r="C127" s="11">
        <v>0.13675999999999999</v>
      </c>
      <c r="D127" s="11">
        <v>0.13675999999999999</v>
      </c>
      <c r="E127" s="11">
        <v>0.13675999999999999</v>
      </c>
      <c r="F127" s="11">
        <v>6.6699999999999995E-2</v>
      </c>
      <c r="G127" s="11">
        <v>0</v>
      </c>
      <c r="H127" s="11">
        <v>1.4198</v>
      </c>
      <c r="I127" s="13">
        <v>1.026</v>
      </c>
      <c r="J127" s="11">
        <v>10</v>
      </c>
      <c r="K127" s="11">
        <v>0</v>
      </c>
      <c r="L127" s="11">
        <v>7082970</v>
      </c>
      <c r="M127" s="11">
        <v>1.22543</v>
      </c>
      <c r="N127" s="23">
        <v>90340000</v>
      </c>
      <c r="O127" s="11">
        <v>292.91899999999998</v>
      </c>
      <c r="P127" s="18">
        <v>-1554.97</v>
      </c>
      <c r="Q127" s="18">
        <v>-7.0000000000000007E-2</v>
      </c>
      <c r="R127" s="18">
        <v>20364.400000000001</v>
      </c>
      <c r="S127" s="17">
        <v>8.4000000000000003E-4</v>
      </c>
      <c r="T127" s="4">
        <v>-4.47E-3</v>
      </c>
    </row>
    <row r="128" spans="1:20" x14ac:dyDescent="0.3">
      <c r="I128" s="13"/>
    </row>
    <row r="131" spans="1:21" ht="36" x14ac:dyDescent="0.3">
      <c r="A131" s="12" t="s">
        <v>31</v>
      </c>
      <c r="B131" s="12" t="s">
        <v>32</v>
      </c>
      <c r="C131" s="12" t="s">
        <v>33</v>
      </c>
      <c r="D131" s="12" t="s">
        <v>44</v>
      </c>
      <c r="E131" s="12" t="s">
        <v>34</v>
      </c>
      <c r="F131" s="12" t="s">
        <v>35</v>
      </c>
      <c r="G131" s="12" t="s">
        <v>36</v>
      </c>
      <c r="H131" s="12" t="s">
        <v>37</v>
      </c>
      <c r="I131" s="12" t="s">
        <v>38</v>
      </c>
      <c r="J131" s="12" t="s">
        <v>39</v>
      </c>
      <c r="K131" s="12" t="s">
        <v>40</v>
      </c>
      <c r="L131" s="12" t="s">
        <v>41</v>
      </c>
      <c r="M131" s="12" t="s">
        <v>42</v>
      </c>
      <c r="N131" s="12" t="s">
        <v>43</v>
      </c>
      <c r="O131" s="16" t="s">
        <v>45</v>
      </c>
      <c r="P131" s="16" t="s">
        <v>46</v>
      </c>
      <c r="Q131" s="16" t="s">
        <v>47</v>
      </c>
      <c r="R131" s="16" t="s">
        <v>48</v>
      </c>
      <c r="S131" s="16" t="s">
        <v>51</v>
      </c>
      <c r="T131" s="22" t="s">
        <v>52</v>
      </c>
    </row>
    <row r="132" spans="1:21" x14ac:dyDescent="0.3">
      <c r="A132" s="11">
        <v>-0.33229999999999998</v>
      </c>
      <c r="B132" s="11">
        <v>0.36349999999999999</v>
      </c>
      <c r="C132" s="11">
        <v>0.23074</v>
      </c>
      <c r="D132" s="11">
        <v>0.23074</v>
      </c>
      <c r="E132" s="11">
        <v>0.23074</v>
      </c>
      <c r="F132" s="11">
        <v>0.36349999999999999</v>
      </c>
      <c r="G132" s="11">
        <v>1E-4</v>
      </c>
      <c r="H132" s="11">
        <v>1.389</v>
      </c>
      <c r="I132" s="11">
        <v>1.026</v>
      </c>
      <c r="J132" s="11">
        <v>0.3</v>
      </c>
      <c r="K132" s="11">
        <v>0</v>
      </c>
      <c r="L132" s="11">
        <v>6374.73</v>
      </c>
      <c r="M132" s="11">
        <v>1.22543</v>
      </c>
      <c r="N132" s="23">
        <v>2710000</v>
      </c>
      <c r="O132" s="11">
        <v>2.3374999999999999</v>
      </c>
      <c r="P132" s="18">
        <v>-5.1665999999999999</v>
      </c>
      <c r="Q132" s="18">
        <v>-7.0000000000000007E-2</v>
      </c>
      <c r="R132" s="18">
        <v>74.637299999999996</v>
      </c>
      <c r="S132" s="17">
        <v>7.4599999999999996E-3</v>
      </c>
      <c r="T132" s="4">
        <v>-1.6490000000000001E-2</v>
      </c>
    </row>
    <row r="133" spans="1:21" x14ac:dyDescent="0.3">
      <c r="A133" s="11">
        <v>-0.35310000000000002</v>
      </c>
      <c r="B133" s="11">
        <v>0.3846</v>
      </c>
      <c r="C133" s="11">
        <v>0.23763000000000001</v>
      </c>
      <c r="D133" s="11">
        <v>0.23763000000000001</v>
      </c>
      <c r="E133" s="11">
        <v>0.23763000000000001</v>
      </c>
      <c r="F133" s="11">
        <v>0.3846</v>
      </c>
      <c r="G133" s="11">
        <v>0</v>
      </c>
      <c r="H133" s="11">
        <v>1.3905000000000001</v>
      </c>
      <c r="I133" s="11">
        <v>1.026</v>
      </c>
      <c r="J133" s="11">
        <v>0.5</v>
      </c>
      <c r="K133" s="11">
        <v>0</v>
      </c>
      <c r="L133" s="11">
        <v>17707.7</v>
      </c>
      <c r="M133" s="11">
        <v>1.22543</v>
      </c>
      <c r="N133" s="23">
        <v>4517000</v>
      </c>
      <c r="O133" s="11">
        <v>6.7473000000000001</v>
      </c>
      <c r="P133" s="18">
        <v>-14.975099999999999</v>
      </c>
      <c r="Q133" s="18">
        <v>-7.0000000000000007E-2</v>
      </c>
      <c r="R133" s="18">
        <v>218.09899999999999</v>
      </c>
      <c r="S133" s="17">
        <v>7.7499999999999999E-3</v>
      </c>
      <c r="T133" s="4">
        <v>-1.721E-2</v>
      </c>
    </row>
    <row r="134" spans="1:21" x14ac:dyDescent="0.3">
      <c r="A134" s="11">
        <v>-0.46379999999999999</v>
      </c>
      <c r="B134" s="11">
        <v>0.4864</v>
      </c>
      <c r="C134" s="11">
        <v>0.30351</v>
      </c>
      <c r="D134" s="11">
        <v>0.30351</v>
      </c>
      <c r="E134" s="11">
        <v>0.30351</v>
      </c>
      <c r="F134" s="11">
        <v>0.4864</v>
      </c>
      <c r="G134" s="11">
        <v>0</v>
      </c>
      <c r="H134" s="11">
        <v>1.4046000000000001</v>
      </c>
      <c r="I134" s="11">
        <v>1.026</v>
      </c>
      <c r="J134" s="11">
        <v>0.80001999999999995</v>
      </c>
      <c r="K134" s="11">
        <v>0</v>
      </c>
      <c r="L134" s="11">
        <v>45334</v>
      </c>
      <c r="M134" s="11">
        <v>1.2254499999999999</v>
      </c>
      <c r="N134" s="23">
        <v>7227000</v>
      </c>
      <c r="O134" s="11">
        <v>16.171199999999999</v>
      </c>
      <c r="P134" s="18">
        <v>-49.227400000000003</v>
      </c>
      <c r="Q134" s="18">
        <v>-7.0000000000000007E-2</v>
      </c>
      <c r="R134" s="18">
        <v>703.20399999999995</v>
      </c>
      <c r="S134" s="17">
        <v>7.26E-3</v>
      </c>
      <c r="T134" s="4">
        <v>-2.2100000000000002E-2</v>
      </c>
    </row>
    <row r="135" spans="1:21" x14ac:dyDescent="0.3">
      <c r="A135" s="11">
        <v>-0.3911</v>
      </c>
      <c r="B135" s="11">
        <v>0.38890000000000002</v>
      </c>
      <c r="C135" s="11">
        <v>0.51400999999999997</v>
      </c>
      <c r="D135" s="11">
        <v>0.51400999999999997</v>
      </c>
      <c r="E135" s="11">
        <v>0.51400999999999997</v>
      </c>
      <c r="F135" s="11">
        <v>0.38890000000000002</v>
      </c>
      <c r="G135" s="11">
        <v>-1E-4</v>
      </c>
      <c r="H135" s="11">
        <v>1.4252</v>
      </c>
      <c r="I135" s="11">
        <v>1.026</v>
      </c>
      <c r="J135" s="11">
        <v>1.1995800000000001</v>
      </c>
      <c r="K135" s="11">
        <v>0</v>
      </c>
      <c r="L135" s="11">
        <v>102079</v>
      </c>
      <c r="M135" s="11">
        <v>1.2272799999999999</v>
      </c>
      <c r="N135" s="23">
        <v>10850000</v>
      </c>
      <c r="O135" s="11">
        <v>17.589600000000001</v>
      </c>
      <c r="P135" s="18">
        <v>-95.650999999999996</v>
      </c>
      <c r="Q135" s="18">
        <v>-7.0000000000000007E-2</v>
      </c>
      <c r="R135" s="18">
        <v>1293.23</v>
      </c>
      <c r="S135" s="17">
        <v>3.5100000000000001E-3</v>
      </c>
      <c r="T135" s="4">
        <v>-1.907E-2</v>
      </c>
    </row>
    <row r="136" spans="1:21" x14ac:dyDescent="0.3">
      <c r="A136" s="11">
        <v>-0.23169999999999999</v>
      </c>
      <c r="B136" s="11">
        <v>0.22750000000000001</v>
      </c>
      <c r="C136" s="11">
        <v>0.36610999999999999</v>
      </c>
      <c r="D136" s="11">
        <v>0.36610999999999999</v>
      </c>
      <c r="E136" s="11">
        <v>0.36610999999999999</v>
      </c>
      <c r="F136" s="11">
        <v>0.22750000000000001</v>
      </c>
      <c r="G136" s="11">
        <v>-1E-4</v>
      </c>
      <c r="H136" s="11">
        <v>1.4303999999999999</v>
      </c>
      <c r="I136" s="11">
        <v>1.026</v>
      </c>
      <c r="J136" s="11">
        <v>1.99996</v>
      </c>
      <c r="K136" s="11">
        <v>0</v>
      </c>
      <c r="L136" s="11">
        <v>283350</v>
      </c>
      <c r="M136" s="11">
        <v>1.2256100000000001</v>
      </c>
      <c r="N136" s="23">
        <v>18070000</v>
      </c>
      <c r="O136" s="11">
        <v>27.557200000000002</v>
      </c>
      <c r="P136" s="18">
        <v>-183.363</v>
      </c>
      <c r="Q136" s="18">
        <v>-7.0000000000000007E-2</v>
      </c>
      <c r="R136" s="18">
        <v>2522.16</v>
      </c>
      <c r="S136" s="17">
        <v>1.98E-3</v>
      </c>
      <c r="T136" s="4">
        <v>-1.3169999999999999E-2</v>
      </c>
    </row>
    <row r="137" spans="1:21" x14ac:dyDescent="0.3">
      <c r="A137" s="11">
        <v>-0.1391</v>
      </c>
      <c r="B137" s="11">
        <v>0.13769999999999999</v>
      </c>
      <c r="C137" s="11">
        <v>0.21496000000000001</v>
      </c>
      <c r="D137" s="11">
        <v>0.21496000000000001</v>
      </c>
      <c r="E137" s="11">
        <v>0.21496000000000001</v>
      </c>
      <c r="F137" s="11">
        <v>0.13769999999999999</v>
      </c>
      <c r="G137" s="11">
        <v>0</v>
      </c>
      <c r="H137" s="11">
        <v>1.4271</v>
      </c>
      <c r="I137" s="11">
        <v>1.026</v>
      </c>
      <c r="J137" s="11">
        <v>4</v>
      </c>
      <c r="K137" s="11">
        <v>0</v>
      </c>
      <c r="L137" s="11">
        <v>1133280</v>
      </c>
      <c r="M137" s="11">
        <v>1.2254400000000001</v>
      </c>
      <c r="N137" s="23">
        <v>36140000</v>
      </c>
      <c r="O137" s="11">
        <v>68.060100000000006</v>
      </c>
      <c r="P137" s="18">
        <v>-484.12</v>
      </c>
      <c r="Q137" s="18">
        <v>-7.0000000000000007E-2</v>
      </c>
      <c r="R137" s="18">
        <v>6555.99</v>
      </c>
      <c r="S137" s="17">
        <v>1.2199999999999999E-3</v>
      </c>
      <c r="T137" s="4">
        <v>-8.6899999999999998E-3</v>
      </c>
    </row>
    <row r="138" spans="1:21" x14ac:dyDescent="0.3">
      <c r="A138" s="11">
        <v>-0.12039999999999999</v>
      </c>
      <c r="B138" s="11">
        <v>0.11990000000000001</v>
      </c>
      <c r="C138" s="11">
        <v>0.18264</v>
      </c>
      <c r="D138" s="11">
        <v>0.18264</v>
      </c>
      <c r="E138" s="11">
        <v>0.18264</v>
      </c>
      <c r="F138" s="11">
        <v>0.11990000000000001</v>
      </c>
      <c r="G138" s="11">
        <v>1E-4</v>
      </c>
      <c r="H138" s="11">
        <v>1.4247000000000001</v>
      </c>
      <c r="I138" s="11">
        <v>1.026</v>
      </c>
      <c r="J138" s="11">
        <v>6</v>
      </c>
      <c r="K138" s="11">
        <v>0</v>
      </c>
      <c r="L138" s="11">
        <v>2549880</v>
      </c>
      <c r="M138" s="11">
        <v>1.22543</v>
      </c>
      <c r="N138" s="23">
        <v>54200000</v>
      </c>
      <c r="O138" s="11">
        <v>150.25299999999999</v>
      </c>
      <c r="P138" s="18">
        <v>-985.05200000000002</v>
      </c>
      <c r="Q138" s="18">
        <v>-7.0000000000000007E-2</v>
      </c>
      <c r="R138" s="18">
        <v>13047.3</v>
      </c>
      <c r="S138" s="17">
        <v>1.1999999999999999E-3</v>
      </c>
      <c r="T138" s="4">
        <v>-7.8600000000000007E-3</v>
      </c>
    </row>
    <row r="139" spans="1:21" x14ac:dyDescent="0.3">
      <c r="A139" s="11">
        <v>-0.1142</v>
      </c>
      <c r="B139" s="11">
        <v>0.11409999999999999</v>
      </c>
      <c r="C139" s="11">
        <v>0.16905999999999999</v>
      </c>
      <c r="D139" s="11">
        <v>0.16905999999999999</v>
      </c>
      <c r="E139" s="11">
        <v>0.16905999999999999</v>
      </c>
      <c r="F139" s="11">
        <v>0.11409999999999999</v>
      </c>
      <c r="G139" s="11">
        <v>0</v>
      </c>
      <c r="H139" s="11">
        <v>1.4234</v>
      </c>
      <c r="I139" s="11">
        <v>1.026</v>
      </c>
      <c r="J139" s="11">
        <v>8</v>
      </c>
      <c r="K139" s="11">
        <v>0</v>
      </c>
      <c r="L139" s="11">
        <v>4533110</v>
      </c>
      <c r="M139" s="11">
        <v>1.22543</v>
      </c>
      <c r="N139" s="23">
        <v>72270000</v>
      </c>
      <c r="O139" s="11">
        <v>275.10500000000002</v>
      </c>
      <c r="P139" s="18">
        <v>-1689.72</v>
      </c>
      <c r="Q139" s="18">
        <v>-7.0000000000000007E-2</v>
      </c>
      <c r="R139" s="18">
        <v>22164.3</v>
      </c>
      <c r="S139" s="17">
        <v>1.23E-3</v>
      </c>
      <c r="T139" s="4">
        <v>-7.5900000000000004E-3</v>
      </c>
    </row>
    <row r="140" spans="1:21" x14ac:dyDescent="0.3">
      <c r="A140" s="11">
        <v>-0.1106</v>
      </c>
      <c r="B140" s="11">
        <v>0.1106</v>
      </c>
      <c r="C140" s="11">
        <v>0.16120000000000001</v>
      </c>
      <c r="D140" s="11">
        <v>0.16120000000000001</v>
      </c>
      <c r="E140" s="11">
        <v>0.16120000000000001</v>
      </c>
      <c r="F140" s="11">
        <v>0.1106</v>
      </c>
      <c r="G140" s="11">
        <v>0</v>
      </c>
      <c r="H140" s="11">
        <v>1.4232</v>
      </c>
      <c r="I140" s="11">
        <v>1.026</v>
      </c>
      <c r="J140" s="11">
        <v>10</v>
      </c>
      <c r="K140" s="11">
        <v>0</v>
      </c>
      <c r="L140" s="11">
        <v>7082980</v>
      </c>
      <c r="M140" s="11">
        <v>1.22543</v>
      </c>
      <c r="N140" s="23">
        <v>90340000</v>
      </c>
      <c r="O140" s="11">
        <v>432.53100000000001</v>
      </c>
      <c r="P140" s="18">
        <v>-2571.04</v>
      </c>
      <c r="Q140" s="18">
        <v>-7.0000000000000007E-2</v>
      </c>
      <c r="R140" s="18">
        <v>33507.800000000003</v>
      </c>
      <c r="S140" s="17">
        <v>1.24E-3</v>
      </c>
      <c r="T140" s="4">
        <v>-7.3899999999999999E-3</v>
      </c>
    </row>
    <row r="144" spans="1:21" ht="36" x14ac:dyDescent="0.3">
      <c r="A144" s="12" t="s">
        <v>31</v>
      </c>
      <c r="B144" s="12" t="s">
        <v>32</v>
      </c>
      <c r="C144" s="12" t="s">
        <v>33</v>
      </c>
      <c r="D144" s="12" t="s">
        <v>44</v>
      </c>
      <c r="E144" s="12" t="s">
        <v>34</v>
      </c>
      <c r="F144" s="12" t="s">
        <v>35</v>
      </c>
      <c r="G144" s="12" t="s">
        <v>36</v>
      </c>
      <c r="H144" s="12" t="s">
        <v>37</v>
      </c>
      <c r="I144" s="12" t="s">
        <v>38</v>
      </c>
      <c r="J144" s="12" t="s">
        <v>39</v>
      </c>
      <c r="K144" s="12" t="s">
        <v>40</v>
      </c>
      <c r="L144" s="12" t="s">
        <v>41</v>
      </c>
      <c r="M144" s="12" t="s">
        <v>42</v>
      </c>
      <c r="N144" s="12" t="s">
        <v>43</v>
      </c>
      <c r="O144" s="16" t="s">
        <v>45</v>
      </c>
      <c r="P144" s="16" t="s">
        <v>46</v>
      </c>
      <c r="Q144" s="16" t="s">
        <v>47</v>
      </c>
      <c r="R144" s="16" t="s">
        <v>48</v>
      </c>
      <c r="S144" s="16" t="s">
        <v>51</v>
      </c>
      <c r="T144" s="22" t="s">
        <v>52</v>
      </c>
      <c r="U144" s="16" t="s">
        <v>49</v>
      </c>
    </row>
    <row r="145" spans="1:23" x14ac:dyDescent="0.3">
      <c r="A145" s="11">
        <v>-0.44009999999999999</v>
      </c>
      <c r="B145" s="11">
        <v>0.48259999999999997</v>
      </c>
      <c r="C145" s="11">
        <v>0.27065</v>
      </c>
      <c r="D145" s="11">
        <v>0.27065</v>
      </c>
      <c r="E145" s="11">
        <v>0.27065</v>
      </c>
      <c r="F145" s="11">
        <v>0.48259999999999997</v>
      </c>
      <c r="G145" s="11">
        <v>0</v>
      </c>
      <c r="H145" s="11">
        <v>1.3879999999999999</v>
      </c>
      <c r="I145" s="13">
        <v>1.026</v>
      </c>
      <c r="J145" s="11">
        <v>0.3</v>
      </c>
      <c r="K145" s="11">
        <v>0</v>
      </c>
      <c r="L145" s="11">
        <v>6374.74</v>
      </c>
      <c r="M145" s="11">
        <v>1.22543</v>
      </c>
      <c r="N145" s="23">
        <v>2710000</v>
      </c>
      <c r="O145" s="11">
        <v>3.0901000000000001</v>
      </c>
      <c r="P145" s="18">
        <v>-6.8231999999999999</v>
      </c>
      <c r="Q145" s="18">
        <v>-7.0000000000000007E-2</v>
      </c>
      <c r="R145" s="18">
        <v>99.1477</v>
      </c>
      <c r="S145" s="17">
        <v>9.8600000000000007E-3</v>
      </c>
      <c r="T145" s="4">
        <v>-2.1780000000000001E-2</v>
      </c>
    </row>
    <row r="146" spans="1:23" x14ac:dyDescent="0.3">
      <c r="A146" s="11">
        <v>-0.46650000000000003</v>
      </c>
      <c r="B146" s="11">
        <v>0.50919999999999999</v>
      </c>
      <c r="C146" s="11">
        <v>0.29432999999999998</v>
      </c>
      <c r="D146" s="11">
        <v>0.29432999999999998</v>
      </c>
      <c r="E146" s="11">
        <v>0.29432999999999998</v>
      </c>
      <c r="F146" s="11">
        <v>0.50919999999999999</v>
      </c>
      <c r="G146" s="11">
        <v>-4.0000000000000002E-4</v>
      </c>
      <c r="H146" s="11">
        <v>1.3895999999999999</v>
      </c>
      <c r="I146" s="13">
        <v>1.026</v>
      </c>
      <c r="J146" s="11">
        <v>0.5</v>
      </c>
      <c r="K146" s="11">
        <v>0</v>
      </c>
      <c r="L146" s="11">
        <v>17707.7</v>
      </c>
      <c r="M146" s="11">
        <v>1.22543</v>
      </c>
      <c r="N146" s="23">
        <v>4517000</v>
      </c>
      <c r="O146" s="11">
        <v>8.9239999999999995</v>
      </c>
      <c r="P146" s="18">
        <v>-19.281400000000001</v>
      </c>
      <c r="Q146" s="18">
        <v>-7.0000000000000007E-2</v>
      </c>
      <c r="R146" s="18">
        <v>288.18400000000003</v>
      </c>
      <c r="S146" s="17">
        <v>1.026E-2</v>
      </c>
      <c r="T146" s="4">
        <v>-2.2159999999999999E-2</v>
      </c>
      <c r="U146" s="10"/>
      <c r="V146" s="10"/>
      <c r="W146" s="10"/>
    </row>
    <row r="147" spans="1:23" x14ac:dyDescent="0.3">
      <c r="A147" s="11">
        <v>-0.56899999999999995</v>
      </c>
      <c r="B147" s="11">
        <v>0.59870000000000001</v>
      </c>
      <c r="C147" s="11">
        <v>0.38069999999999998</v>
      </c>
      <c r="D147" s="11">
        <v>0.38069999999999998</v>
      </c>
      <c r="E147" s="11">
        <v>0.38069999999999998</v>
      </c>
      <c r="F147" s="11">
        <v>0.59870000000000001</v>
      </c>
      <c r="G147" s="11">
        <v>1E-4</v>
      </c>
      <c r="H147" s="11">
        <v>1.4033</v>
      </c>
      <c r="I147" s="13">
        <v>1.026</v>
      </c>
      <c r="J147" s="11">
        <v>0.80001999999999995</v>
      </c>
      <c r="K147" s="11">
        <v>0</v>
      </c>
      <c r="L147" s="11">
        <v>45334.5</v>
      </c>
      <c r="M147" s="11">
        <v>1.22546</v>
      </c>
      <c r="N147" s="23">
        <v>7227000</v>
      </c>
      <c r="O147" s="11">
        <v>20.584299999999999</v>
      </c>
      <c r="P147" s="18">
        <v>-57.503799999999998</v>
      </c>
      <c r="Q147" s="18">
        <v>-7.0000000000000007E-2</v>
      </c>
      <c r="R147" s="18">
        <v>854.00400000000002</v>
      </c>
      <c r="S147" s="17">
        <v>9.2399999999999999E-3</v>
      </c>
      <c r="T147" s="4">
        <v>-2.581E-2</v>
      </c>
      <c r="U147" s="10"/>
      <c r="V147" s="10"/>
      <c r="W147" s="10"/>
    </row>
    <row r="148" spans="1:23" x14ac:dyDescent="0.3">
      <c r="A148" s="11">
        <v>-0.50139999999999996</v>
      </c>
      <c r="B148" s="11">
        <v>0.49990000000000001</v>
      </c>
      <c r="C148" s="11">
        <v>0.58462000000000003</v>
      </c>
      <c r="D148" s="11">
        <v>0.58462000000000003</v>
      </c>
      <c r="E148" s="11">
        <v>0.58462000000000003</v>
      </c>
      <c r="F148" s="11">
        <v>0.49990000000000001</v>
      </c>
      <c r="G148" s="11">
        <v>1E-4</v>
      </c>
      <c r="H148" s="11">
        <v>1.4241999999999999</v>
      </c>
      <c r="I148" s="13">
        <v>1.026</v>
      </c>
      <c r="J148" s="11">
        <v>1.19967</v>
      </c>
      <c r="K148" s="11">
        <v>0</v>
      </c>
      <c r="L148" s="11">
        <v>102062</v>
      </c>
      <c r="M148" s="11">
        <v>1.2269000000000001</v>
      </c>
      <c r="N148" s="23">
        <v>10850000</v>
      </c>
      <c r="O148" s="11">
        <v>21.166799999999999</v>
      </c>
      <c r="P148" s="18">
        <v>-124.139</v>
      </c>
      <c r="Q148" s="18">
        <v>-7.0000000000000007E-2</v>
      </c>
      <c r="R148" s="18">
        <v>1669.59</v>
      </c>
      <c r="S148" s="17">
        <v>4.2199999999999998E-3</v>
      </c>
      <c r="T148" s="4">
        <v>-2.4750000000000001E-2</v>
      </c>
      <c r="U148" s="10"/>
      <c r="V148" s="10"/>
      <c r="W148" s="10"/>
    </row>
    <row r="149" spans="1:23" x14ac:dyDescent="0.3">
      <c r="A149" s="11">
        <v>-0.30430000000000001</v>
      </c>
      <c r="B149" s="11">
        <v>0.29809999999999998</v>
      </c>
      <c r="C149" s="11">
        <v>0.41924</v>
      </c>
      <c r="D149" s="11">
        <v>0.41924</v>
      </c>
      <c r="E149" s="11">
        <v>0.41924</v>
      </c>
      <c r="F149" s="11">
        <v>0.29809999999999998</v>
      </c>
      <c r="G149" s="11">
        <v>1E-4</v>
      </c>
      <c r="H149" s="11">
        <v>1.4312</v>
      </c>
      <c r="I149" s="13">
        <v>1.026</v>
      </c>
      <c r="J149" s="11">
        <v>1.99996</v>
      </c>
      <c r="K149" s="11">
        <v>0</v>
      </c>
      <c r="L149" s="11">
        <v>283350</v>
      </c>
      <c r="M149" s="11">
        <v>1.2256100000000001</v>
      </c>
      <c r="N149" s="23">
        <v>18070000</v>
      </c>
      <c r="O149" s="11">
        <v>35.011000000000003</v>
      </c>
      <c r="P149" s="18">
        <v>-239.166</v>
      </c>
      <c r="Q149" s="18">
        <v>-7.0000000000000007E-2</v>
      </c>
      <c r="R149" s="18">
        <v>3274.05</v>
      </c>
      <c r="S149" s="17">
        <v>2.5100000000000001E-3</v>
      </c>
      <c r="T149" s="4">
        <v>-1.7180000000000001E-2</v>
      </c>
      <c r="U149" s="10"/>
      <c r="V149" s="10"/>
      <c r="W149" s="10"/>
    </row>
    <row r="150" spans="1:23" x14ac:dyDescent="0.3">
      <c r="A150" s="11">
        <v>-0.19189999999999999</v>
      </c>
      <c r="B150" s="11">
        <v>0.1898</v>
      </c>
      <c r="C150" s="11">
        <v>0.25568000000000002</v>
      </c>
      <c r="D150" s="11">
        <v>0.25568000000000002</v>
      </c>
      <c r="E150" s="11">
        <v>0.25568000000000002</v>
      </c>
      <c r="F150" s="11">
        <v>0.1898</v>
      </c>
      <c r="G150" s="11">
        <v>0</v>
      </c>
      <c r="H150" s="11">
        <v>1.4273</v>
      </c>
      <c r="I150" s="13">
        <v>1.026</v>
      </c>
      <c r="J150" s="11">
        <v>4</v>
      </c>
      <c r="K150" s="11">
        <v>0</v>
      </c>
      <c r="L150" s="11">
        <v>1133290</v>
      </c>
      <c r="M150" s="11">
        <v>1.2254400000000001</v>
      </c>
      <c r="N150" s="23">
        <v>36140000</v>
      </c>
      <c r="O150" s="11">
        <v>94.732799999999997</v>
      </c>
      <c r="P150" s="18">
        <v>-676.88400000000001</v>
      </c>
      <c r="Q150" s="18">
        <v>-7.0000000000000007E-2</v>
      </c>
      <c r="R150" s="18">
        <v>9017.8700000000008</v>
      </c>
      <c r="S150" s="17">
        <v>1.6999999999999999E-3</v>
      </c>
      <c r="T150" s="4">
        <v>-1.2149999999999999E-2</v>
      </c>
      <c r="U150" s="10"/>
      <c r="V150" s="10"/>
      <c r="W150" s="10"/>
    </row>
    <row r="151" spans="1:23" x14ac:dyDescent="0.3">
      <c r="A151" s="11">
        <v>-0.1721</v>
      </c>
      <c r="B151" s="11">
        <v>0.17100000000000001</v>
      </c>
      <c r="C151" s="11">
        <v>0.22183</v>
      </c>
      <c r="D151" s="11">
        <v>0.22183</v>
      </c>
      <c r="E151" s="11">
        <v>0.22183</v>
      </c>
      <c r="F151" s="11">
        <v>0.17100000000000001</v>
      </c>
      <c r="G151" s="11">
        <v>0</v>
      </c>
      <c r="H151" s="11">
        <v>1.4256</v>
      </c>
      <c r="I151" s="13">
        <v>1.026</v>
      </c>
      <c r="J151" s="11">
        <v>6</v>
      </c>
      <c r="K151" s="11">
        <v>0</v>
      </c>
      <c r="L151" s="11">
        <v>2549870</v>
      </c>
      <c r="M151" s="11">
        <v>1.22543</v>
      </c>
      <c r="N151" s="23">
        <v>54200000</v>
      </c>
      <c r="O151" s="11">
        <v>205.46100000000001</v>
      </c>
      <c r="P151" s="18">
        <v>-1423</v>
      </c>
      <c r="Q151" s="18">
        <v>-7.0000000000000007E-2</v>
      </c>
      <c r="R151" s="18">
        <v>18573.8</v>
      </c>
      <c r="S151" s="17">
        <v>1.64E-3</v>
      </c>
      <c r="T151" s="4">
        <v>-1.136E-2</v>
      </c>
      <c r="U151" s="10"/>
      <c r="V151" s="10"/>
      <c r="W151" s="10"/>
    </row>
    <row r="152" spans="1:23" x14ac:dyDescent="0.3">
      <c r="A152" s="11">
        <v>-0.1661</v>
      </c>
      <c r="B152" s="11">
        <v>0.1656</v>
      </c>
      <c r="C152" s="11">
        <v>0.20846000000000001</v>
      </c>
      <c r="D152" s="11">
        <v>0.20846000000000001</v>
      </c>
      <c r="E152" s="11">
        <v>0.20846000000000001</v>
      </c>
      <c r="F152" s="11">
        <v>0.1656</v>
      </c>
      <c r="G152" s="11">
        <v>0</v>
      </c>
      <c r="H152" s="11">
        <v>1.4241999999999999</v>
      </c>
      <c r="I152" s="13">
        <v>1.026</v>
      </c>
      <c r="J152" s="11">
        <v>8</v>
      </c>
      <c r="K152" s="11">
        <v>0</v>
      </c>
      <c r="L152" s="11">
        <v>4533100</v>
      </c>
      <c r="M152" s="11">
        <v>1.22543</v>
      </c>
      <c r="N152" s="23">
        <v>72270000</v>
      </c>
      <c r="O152" s="11">
        <v>370.82900000000001</v>
      </c>
      <c r="P152" s="18">
        <v>-2479.12</v>
      </c>
      <c r="Q152" s="18">
        <v>-7.0000000000000007E-2</v>
      </c>
      <c r="R152" s="18">
        <v>32142.5</v>
      </c>
      <c r="S152" s="17">
        <v>1.66E-3</v>
      </c>
      <c r="T152" s="4">
        <v>-1.1129999999999999E-2</v>
      </c>
      <c r="U152" s="10"/>
      <c r="V152" s="10"/>
      <c r="W152" s="10"/>
    </row>
    <row r="153" spans="1:23" x14ac:dyDescent="0.3">
      <c r="A153" s="11">
        <v>-0.16209999999999999</v>
      </c>
      <c r="B153" s="11">
        <v>0.1618</v>
      </c>
      <c r="C153" s="11">
        <v>0.20039000000000001</v>
      </c>
      <c r="D153" s="11">
        <v>0.20039000000000001</v>
      </c>
      <c r="E153" s="11">
        <v>0.20039000000000001</v>
      </c>
      <c r="F153" s="11">
        <v>0.1618</v>
      </c>
      <c r="G153" s="11">
        <v>0</v>
      </c>
      <c r="H153" s="11">
        <v>1.4236</v>
      </c>
      <c r="I153" s="13">
        <v>1.026</v>
      </c>
      <c r="J153" s="11">
        <v>10</v>
      </c>
      <c r="K153" s="11">
        <v>0</v>
      </c>
      <c r="L153" s="11">
        <v>7082970</v>
      </c>
      <c r="M153" s="11">
        <v>1.22543</v>
      </c>
      <c r="N153" s="23">
        <v>90340000</v>
      </c>
      <c r="O153" s="11">
        <v>585.99800000000005</v>
      </c>
      <c r="P153" s="18">
        <v>-3806.84</v>
      </c>
      <c r="Q153" s="18">
        <v>-7.0000000000000007E-2</v>
      </c>
      <c r="R153" s="18">
        <v>49050.5</v>
      </c>
      <c r="S153" s="17">
        <v>1.6800000000000001E-3</v>
      </c>
      <c r="T153" s="4">
        <v>-1.094E-2</v>
      </c>
      <c r="U153" s="10"/>
      <c r="V153" s="10"/>
      <c r="W153" s="10"/>
    </row>
    <row r="154" spans="1:23" x14ac:dyDescent="0.3">
      <c r="I154" s="13"/>
    </row>
    <row r="157" spans="1:23" ht="36" x14ac:dyDescent="0.3">
      <c r="A157" s="12" t="s">
        <v>31</v>
      </c>
      <c r="B157" s="12" t="s">
        <v>32</v>
      </c>
      <c r="C157" s="12" t="s">
        <v>33</v>
      </c>
      <c r="D157" s="12" t="s">
        <v>44</v>
      </c>
      <c r="E157" s="12" t="s">
        <v>34</v>
      </c>
      <c r="F157" s="12" t="s">
        <v>35</v>
      </c>
      <c r="G157" s="12" t="s">
        <v>36</v>
      </c>
      <c r="H157" s="12" t="s">
        <v>37</v>
      </c>
      <c r="I157" s="12" t="s">
        <v>38</v>
      </c>
      <c r="J157" s="12" t="s">
        <v>39</v>
      </c>
      <c r="K157" s="12" t="s">
        <v>40</v>
      </c>
      <c r="L157" s="12" t="s">
        <v>41</v>
      </c>
      <c r="M157" s="12" t="s">
        <v>42</v>
      </c>
      <c r="N157" s="12" t="s">
        <v>43</v>
      </c>
      <c r="O157" s="16" t="s">
        <v>45</v>
      </c>
      <c r="P157" s="16" t="s">
        <v>46</v>
      </c>
      <c r="Q157" s="16" t="s">
        <v>47</v>
      </c>
      <c r="R157" s="16" t="s">
        <v>48</v>
      </c>
      <c r="S157" s="16" t="s">
        <v>51</v>
      </c>
      <c r="T157" s="22" t="s">
        <v>52</v>
      </c>
      <c r="U157" s="16" t="s">
        <v>49</v>
      </c>
    </row>
    <row r="158" spans="1:23" x14ac:dyDescent="0.3">
      <c r="A158" s="11">
        <v>-0.53290000000000004</v>
      </c>
      <c r="B158" s="11">
        <v>0.58630000000000004</v>
      </c>
      <c r="C158" s="11">
        <v>0.33745999999999998</v>
      </c>
      <c r="D158" s="11">
        <v>0.33745999999999998</v>
      </c>
      <c r="E158" s="11">
        <v>0.33745999999999998</v>
      </c>
      <c r="F158" s="11">
        <v>0.58630000000000004</v>
      </c>
      <c r="G158" s="11">
        <v>2.0000000000000001E-4</v>
      </c>
      <c r="H158" s="11">
        <v>1.3868</v>
      </c>
      <c r="I158" s="13">
        <v>1.026</v>
      </c>
      <c r="J158" s="11">
        <v>0.3</v>
      </c>
      <c r="K158" s="11">
        <v>0</v>
      </c>
      <c r="L158" s="11">
        <v>6374.75</v>
      </c>
      <c r="M158" s="11">
        <v>1.22543</v>
      </c>
      <c r="N158" s="23">
        <v>2710000</v>
      </c>
      <c r="O158" s="11">
        <v>3.7707999999999999</v>
      </c>
      <c r="P158" s="18">
        <v>-8.0488</v>
      </c>
      <c r="Q158" s="18">
        <v>-7.0000000000000007E-2</v>
      </c>
      <c r="R158" s="18">
        <v>119.992</v>
      </c>
      <c r="S158" s="17">
        <v>1.204E-2</v>
      </c>
      <c r="T158" s="4">
        <v>-2.5690000000000001E-2</v>
      </c>
    </row>
    <row r="159" spans="1:23" x14ac:dyDescent="0.3">
      <c r="A159" s="11">
        <v>-0.52880000000000005</v>
      </c>
      <c r="B159" s="11">
        <v>0.58160000000000001</v>
      </c>
      <c r="C159" s="11">
        <v>0.36947999999999998</v>
      </c>
      <c r="D159" s="11">
        <v>0.36947999999999998</v>
      </c>
      <c r="E159" s="11">
        <v>0.36947999999999998</v>
      </c>
      <c r="F159" s="11">
        <v>0.58160000000000001</v>
      </c>
      <c r="G159" s="11">
        <v>1.6000000000000001E-3</v>
      </c>
      <c r="H159" s="11">
        <v>1.3869</v>
      </c>
      <c r="I159" s="13">
        <v>1.026</v>
      </c>
      <c r="J159" s="11">
        <v>0.5</v>
      </c>
      <c r="K159" s="11">
        <v>0</v>
      </c>
      <c r="L159" s="11">
        <v>17707.8</v>
      </c>
      <c r="M159" s="11">
        <v>1.22543</v>
      </c>
      <c r="N159" s="23">
        <v>4517000</v>
      </c>
      <c r="O159" s="11">
        <v>11.2516</v>
      </c>
      <c r="P159" s="18">
        <v>-21.157800000000002</v>
      </c>
      <c r="Q159" s="18">
        <v>-7.0000000000000007E-2</v>
      </c>
      <c r="R159" s="18">
        <v>325.55500000000001</v>
      </c>
      <c r="S159" s="17">
        <v>1.2930000000000001E-2</v>
      </c>
      <c r="T159" s="4">
        <v>-2.4309999999999998E-2</v>
      </c>
      <c r="U159" s="10"/>
    </row>
    <row r="160" spans="1:23" x14ac:dyDescent="0.3">
      <c r="A160" s="11">
        <v>-0.63790000000000002</v>
      </c>
      <c r="B160" s="11">
        <v>0.67420000000000002</v>
      </c>
      <c r="C160" s="11">
        <v>0.46555000000000002</v>
      </c>
      <c r="D160" s="11">
        <v>0.46555000000000002</v>
      </c>
      <c r="E160" s="11">
        <v>0.46555000000000002</v>
      </c>
      <c r="F160" s="11">
        <v>0.67420000000000002</v>
      </c>
      <c r="G160" s="11">
        <v>5.0000000000000001E-4</v>
      </c>
      <c r="H160" s="11">
        <v>1.4016999999999999</v>
      </c>
      <c r="I160" s="13">
        <v>1.026</v>
      </c>
      <c r="J160" s="11">
        <v>0.80001999999999995</v>
      </c>
      <c r="K160" s="11">
        <v>0</v>
      </c>
      <c r="L160" s="11">
        <v>45335</v>
      </c>
      <c r="M160" s="11">
        <v>1.22546</v>
      </c>
      <c r="N160" s="23">
        <v>7227000</v>
      </c>
      <c r="O160" s="11">
        <v>24.863</v>
      </c>
      <c r="P160" s="18">
        <v>-63.462800000000001</v>
      </c>
      <c r="Q160" s="18">
        <v>-7.0000000000000007E-2</v>
      </c>
      <c r="R160" s="18">
        <v>952.053</v>
      </c>
      <c r="S160" s="17">
        <v>1.116E-2</v>
      </c>
      <c r="T160" s="4">
        <v>-2.8490000000000001E-2</v>
      </c>
      <c r="U160" s="10"/>
    </row>
    <row r="161" spans="1:23" x14ac:dyDescent="0.3">
      <c r="A161" s="11">
        <v>-0.58879999999999999</v>
      </c>
      <c r="B161" s="11">
        <v>0.58799999999999997</v>
      </c>
      <c r="C161" s="11">
        <v>0.66988000000000003</v>
      </c>
      <c r="D161" s="11">
        <v>0.66988000000000003</v>
      </c>
      <c r="E161" s="11">
        <v>0.66988000000000003</v>
      </c>
      <c r="F161" s="11">
        <v>0.58799999999999997</v>
      </c>
      <c r="G161" s="11">
        <v>2.0000000000000001E-4</v>
      </c>
      <c r="H161" s="11">
        <v>1.4236</v>
      </c>
      <c r="I161" s="13">
        <v>1.026</v>
      </c>
      <c r="J161" s="11">
        <v>1.19953</v>
      </c>
      <c r="K161" s="11">
        <v>0</v>
      </c>
      <c r="L161" s="11">
        <v>102101</v>
      </c>
      <c r="M161" s="11">
        <v>1.22766</v>
      </c>
      <c r="N161" s="23">
        <v>10860000</v>
      </c>
      <c r="O161" s="11">
        <v>24.686900000000001</v>
      </c>
      <c r="P161" s="18">
        <v>-146.572</v>
      </c>
      <c r="Q161" s="18">
        <v>-7.0000000000000007E-2</v>
      </c>
      <c r="R161" s="18">
        <v>1965.5</v>
      </c>
      <c r="S161" s="17">
        <v>4.9199999999999999E-3</v>
      </c>
      <c r="T161" s="4">
        <v>-2.921E-2</v>
      </c>
      <c r="U161" s="10"/>
    </row>
    <row r="162" spans="1:23" x14ac:dyDescent="0.3">
      <c r="A162" s="11">
        <v>-0.37309999999999999</v>
      </c>
      <c r="B162" s="11">
        <v>0.36430000000000001</v>
      </c>
      <c r="C162" s="11">
        <v>0.48522999999999999</v>
      </c>
      <c r="D162" s="11">
        <v>0.48522999999999999</v>
      </c>
      <c r="E162" s="11">
        <v>0.48522999999999999</v>
      </c>
      <c r="F162" s="11">
        <v>0.36430000000000001</v>
      </c>
      <c r="G162" s="11">
        <v>0</v>
      </c>
      <c r="H162" s="11">
        <v>1.4326000000000001</v>
      </c>
      <c r="I162" s="13">
        <v>1.026</v>
      </c>
      <c r="J162" s="11">
        <v>1.99996</v>
      </c>
      <c r="K162" s="11">
        <v>0</v>
      </c>
      <c r="L162" s="11">
        <v>283355</v>
      </c>
      <c r="M162" s="11">
        <v>1.2256400000000001</v>
      </c>
      <c r="N162" s="23">
        <v>18070000</v>
      </c>
      <c r="O162" s="11">
        <v>41.536099999999998</v>
      </c>
      <c r="P162" s="18">
        <v>-291.28899999999999</v>
      </c>
      <c r="Q162" s="18">
        <v>-7.0000000000000007E-2</v>
      </c>
      <c r="R162" s="18">
        <v>3939.4</v>
      </c>
      <c r="S162" s="17">
        <v>2.98E-3</v>
      </c>
      <c r="T162" s="4">
        <v>-2.0920000000000001E-2</v>
      </c>
      <c r="U162" s="10"/>
    </row>
    <row r="163" spans="1:23" x14ac:dyDescent="0.3">
      <c r="A163" s="11">
        <v>-0.24529999999999999</v>
      </c>
      <c r="B163" s="11">
        <v>0.24260000000000001</v>
      </c>
      <c r="C163" s="11">
        <v>0.30947000000000002</v>
      </c>
      <c r="D163" s="11">
        <v>0.30947000000000002</v>
      </c>
      <c r="E163" s="11">
        <v>0.30947000000000002</v>
      </c>
      <c r="F163" s="11">
        <v>0.24260000000000001</v>
      </c>
      <c r="G163" s="11">
        <v>0</v>
      </c>
      <c r="H163" s="11">
        <v>1.4275</v>
      </c>
      <c r="I163" s="13">
        <v>1.026</v>
      </c>
      <c r="J163" s="11">
        <v>4</v>
      </c>
      <c r="K163" s="11">
        <v>0</v>
      </c>
      <c r="L163" s="11">
        <v>1133290</v>
      </c>
      <c r="M163" s="11">
        <v>1.2254400000000001</v>
      </c>
      <c r="N163" s="23">
        <v>36140000</v>
      </c>
      <c r="O163" s="11">
        <v>125.15300000000001</v>
      </c>
      <c r="P163" s="18">
        <v>-877.53599999999994</v>
      </c>
      <c r="Q163" s="18">
        <v>-7.0000000000000007E-2</v>
      </c>
      <c r="R163" s="18">
        <v>11458.5</v>
      </c>
      <c r="S163" s="17">
        <v>2.2499999999999998E-3</v>
      </c>
      <c r="T163" s="4">
        <v>-1.576E-2</v>
      </c>
      <c r="U163" s="10"/>
    </row>
    <row r="164" spans="1:23" x14ac:dyDescent="0.3">
      <c r="A164" s="11">
        <v>-0.22720000000000001</v>
      </c>
      <c r="B164" s="11">
        <v>0.22550000000000001</v>
      </c>
      <c r="C164" s="11">
        <v>0.27599000000000001</v>
      </c>
      <c r="D164" s="11">
        <v>0.27599000000000001</v>
      </c>
      <c r="E164" s="11">
        <v>0.27599000000000001</v>
      </c>
      <c r="F164" s="11">
        <v>0.22550000000000001</v>
      </c>
      <c r="G164" s="11">
        <v>0</v>
      </c>
      <c r="H164" s="11">
        <v>1.4259999999999999</v>
      </c>
      <c r="I164" s="13">
        <v>1.026</v>
      </c>
      <c r="J164" s="11">
        <v>6</v>
      </c>
      <c r="K164" s="11">
        <v>0</v>
      </c>
      <c r="L164" s="11">
        <v>2549870</v>
      </c>
      <c r="M164" s="11">
        <v>1.22543</v>
      </c>
      <c r="N164" s="23">
        <v>54200000</v>
      </c>
      <c r="O164" s="11">
        <v>268.51499999999999</v>
      </c>
      <c r="P164" s="18">
        <v>-1908.66</v>
      </c>
      <c r="Q164" s="18">
        <v>-7.0000000000000007E-2</v>
      </c>
      <c r="R164" s="18">
        <v>24392.400000000001</v>
      </c>
      <c r="S164" s="17">
        <v>2.14E-3</v>
      </c>
      <c r="T164" s="4">
        <v>-1.523E-2</v>
      </c>
      <c r="U164" s="10"/>
    </row>
    <row r="165" spans="1:23" x14ac:dyDescent="0.3">
      <c r="A165" s="11">
        <v>-0.2233</v>
      </c>
      <c r="B165" s="11">
        <v>0.22209999999999999</v>
      </c>
      <c r="C165" s="11">
        <v>0.26385999999999998</v>
      </c>
      <c r="D165" s="11">
        <v>0.26385999999999998</v>
      </c>
      <c r="E165" s="11">
        <v>0.26385999999999998</v>
      </c>
      <c r="F165" s="11">
        <v>0.22209999999999999</v>
      </c>
      <c r="G165" s="11">
        <v>1E-4</v>
      </c>
      <c r="H165" s="11">
        <v>1.425</v>
      </c>
      <c r="I165" s="13">
        <v>1.026</v>
      </c>
      <c r="J165" s="11">
        <v>8</v>
      </c>
      <c r="K165" s="11">
        <v>0</v>
      </c>
      <c r="L165" s="11">
        <v>4533110</v>
      </c>
      <c r="M165" s="11">
        <v>1.22543</v>
      </c>
      <c r="N165" s="23">
        <v>72270000</v>
      </c>
      <c r="O165" s="11">
        <v>479.13299999999998</v>
      </c>
      <c r="P165" s="18">
        <v>-3388.19</v>
      </c>
      <c r="Q165" s="18">
        <v>-7.0000000000000007E-2</v>
      </c>
      <c r="R165" s="18">
        <v>43014.5</v>
      </c>
      <c r="S165" s="17">
        <v>2.15E-3</v>
      </c>
      <c r="T165" s="4">
        <v>-1.521E-2</v>
      </c>
      <c r="U165" s="10"/>
    </row>
    <row r="166" spans="1:23" x14ac:dyDescent="0.3">
      <c r="A166" s="11">
        <v>-0.21940000000000001</v>
      </c>
      <c r="B166" s="11">
        <v>0.21859999999999999</v>
      </c>
      <c r="C166" s="11">
        <v>0.25573000000000001</v>
      </c>
      <c r="D166" s="11">
        <v>0.25573000000000001</v>
      </c>
      <c r="E166" s="11">
        <v>0.25573000000000001</v>
      </c>
      <c r="F166" s="11">
        <v>0.21859999999999999</v>
      </c>
      <c r="G166" s="11">
        <v>2.9999999999999997E-4</v>
      </c>
      <c r="H166" s="11">
        <v>1.4244000000000001</v>
      </c>
      <c r="I166" s="13">
        <v>1.026</v>
      </c>
      <c r="J166" s="11">
        <v>10</v>
      </c>
      <c r="K166" s="11">
        <v>0</v>
      </c>
      <c r="L166" s="11">
        <v>7082970</v>
      </c>
      <c r="M166" s="11">
        <v>1.22543</v>
      </c>
      <c r="N166" s="23">
        <v>90340000</v>
      </c>
      <c r="O166" s="11">
        <v>753.88400000000001</v>
      </c>
      <c r="P166" s="18">
        <v>-5250.58</v>
      </c>
      <c r="Q166" s="18">
        <v>-7.0000000000000007E-2</v>
      </c>
      <c r="R166" s="18">
        <v>66292.7</v>
      </c>
      <c r="S166" s="17">
        <v>2.1700000000000001E-3</v>
      </c>
      <c r="T166" s="4">
        <v>-1.508E-2</v>
      </c>
      <c r="U166" s="10"/>
      <c r="V166" s="10"/>
      <c r="W166" s="10"/>
    </row>
    <row r="167" spans="1:23" x14ac:dyDescent="0.3">
      <c r="I167" s="13"/>
    </row>
    <row r="168" spans="1:23" x14ac:dyDescent="0.3">
      <c r="I168" s="13"/>
    </row>
    <row r="169" spans="1:23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19"/>
    </row>
    <row r="170" spans="1:23" ht="23.4" x14ac:dyDescent="0.3">
      <c r="A170" s="27" t="s">
        <v>23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</row>
    <row r="171" spans="1:23" ht="36" x14ac:dyDescent="0.3">
      <c r="A171" s="12" t="s">
        <v>31</v>
      </c>
      <c r="B171" s="12" t="s">
        <v>32</v>
      </c>
      <c r="C171" s="12" t="s">
        <v>33</v>
      </c>
      <c r="D171" s="12" t="s">
        <v>44</v>
      </c>
      <c r="E171" s="12" t="s">
        <v>34</v>
      </c>
      <c r="F171" s="12" t="s">
        <v>35</v>
      </c>
      <c r="G171" s="12" t="s">
        <v>36</v>
      </c>
      <c r="H171" s="12" t="s">
        <v>37</v>
      </c>
      <c r="I171" s="12" t="s">
        <v>38</v>
      </c>
      <c r="J171" s="12" t="s">
        <v>39</v>
      </c>
      <c r="K171" s="12" t="s">
        <v>40</v>
      </c>
      <c r="L171" s="12" t="s">
        <v>41</v>
      </c>
      <c r="M171" s="12" t="s">
        <v>42</v>
      </c>
      <c r="N171" s="12" t="s">
        <v>43</v>
      </c>
      <c r="O171" s="16" t="s">
        <v>45</v>
      </c>
      <c r="P171" s="16" t="s">
        <v>46</v>
      </c>
      <c r="Q171" s="16" t="s">
        <v>47</v>
      </c>
      <c r="R171" s="16" t="s">
        <v>48</v>
      </c>
      <c r="S171" s="16" t="s">
        <v>51</v>
      </c>
      <c r="T171" s="4" t="s">
        <v>52</v>
      </c>
    </row>
    <row r="172" spans="1:23" ht="18" x14ac:dyDescent="0.3">
      <c r="A172" s="11">
        <v>-6.9999999999999999E-4</v>
      </c>
      <c r="B172" s="11">
        <v>2.0000000000000001E-4</v>
      </c>
      <c r="C172" s="11">
        <v>0.18013999999999999</v>
      </c>
      <c r="D172" s="11">
        <v>0.18013999999999999</v>
      </c>
      <c r="E172" s="11">
        <v>0.18013999999999999</v>
      </c>
      <c r="F172" s="11">
        <v>2.0000000000000001E-4</v>
      </c>
      <c r="G172" s="11">
        <v>-8.9800000000000005E-2</v>
      </c>
      <c r="H172" s="11">
        <v>2.8096000000000001</v>
      </c>
      <c r="I172" s="11">
        <v>1.026</v>
      </c>
      <c r="J172" s="11">
        <v>0.3</v>
      </c>
      <c r="K172" s="11">
        <v>0</v>
      </c>
      <c r="L172" s="11">
        <v>6374.72</v>
      </c>
      <c r="M172" s="11">
        <v>1.22543</v>
      </c>
      <c r="N172" s="23">
        <v>2710000</v>
      </c>
      <c r="O172" s="11">
        <v>-0.87890000000000001</v>
      </c>
      <c r="P172" s="16">
        <v>1.8703000000000001</v>
      </c>
      <c r="Q172" s="18">
        <v>-7.0000000000000007E-2</v>
      </c>
      <c r="R172" s="18">
        <v>-27.116499999999998</v>
      </c>
      <c r="S172" s="17">
        <v>-2.81E-3</v>
      </c>
      <c r="T172" s="4">
        <v>5.9699999999999996E-3</v>
      </c>
    </row>
    <row r="173" spans="1:23" ht="18" x14ac:dyDescent="0.3">
      <c r="A173" s="11">
        <v>-2.0000000000000001E-4</v>
      </c>
      <c r="B173" s="11">
        <v>2.0000000000000001E-4</v>
      </c>
      <c r="C173" s="11">
        <v>0.18345</v>
      </c>
      <c r="D173" s="11">
        <v>0.18345</v>
      </c>
      <c r="E173" s="11">
        <v>0.18345</v>
      </c>
      <c r="F173" s="11">
        <v>2.0000000000000001E-4</v>
      </c>
      <c r="G173" s="11">
        <v>-9.3399999999999997E-2</v>
      </c>
      <c r="H173" s="11">
        <v>1.4888999999999999</v>
      </c>
      <c r="I173" s="11">
        <v>1.026</v>
      </c>
      <c r="J173" s="11">
        <v>0.5</v>
      </c>
      <c r="K173" s="11">
        <v>0</v>
      </c>
      <c r="L173" s="11">
        <v>17707.599999999999</v>
      </c>
      <c r="M173" s="11">
        <v>1.22543</v>
      </c>
      <c r="N173" s="23">
        <v>4517000</v>
      </c>
      <c r="O173" s="11">
        <v>-2.4904000000000002</v>
      </c>
      <c r="P173" s="16">
        <v>5.4020999999999999</v>
      </c>
      <c r="Q173" s="18">
        <v>-7.0000000000000007E-2</v>
      </c>
      <c r="R173" s="18">
        <v>-78.402299999999997</v>
      </c>
      <c r="S173" s="17">
        <v>-2.8600000000000001E-3</v>
      </c>
      <c r="T173" s="4">
        <v>6.2100000000000002E-3</v>
      </c>
    </row>
    <row r="174" spans="1:23" ht="18" x14ac:dyDescent="0.3">
      <c r="A174" s="11">
        <v>-2.0000000000000001E-4</v>
      </c>
      <c r="B174" s="11">
        <v>1E-4</v>
      </c>
      <c r="C174" s="11">
        <v>0.22853000000000001</v>
      </c>
      <c r="D174" s="11">
        <v>0.22853000000000001</v>
      </c>
      <c r="E174" s="11">
        <v>0.22853000000000001</v>
      </c>
      <c r="F174" s="11">
        <v>1E-4</v>
      </c>
      <c r="G174" s="11">
        <v>-0.10829999999999999</v>
      </c>
      <c r="H174" s="11">
        <v>1.6160000000000001</v>
      </c>
      <c r="I174" s="11">
        <v>1.026</v>
      </c>
      <c r="J174" s="11">
        <v>0.80001999999999995</v>
      </c>
      <c r="K174" s="11">
        <v>0</v>
      </c>
      <c r="L174" s="11">
        <v>45333.5</v>
      </c>
      <c r="M174" s="11">
        <v>1.2254499999999999</v>
      </c>
      <c r="N174" s="23">
        <v>7227000</v>
      </c>
      <c r="O174" s="11">
        <v>-6.0250000000000004</v>
      </c>
      <c r="P174" s="16">
        <v>16.034500000000001</v>
      </c>
      <c r="Q174" s="18">
        <v>-7.0000000000000007E-2</v>
      </c>
      <c r="R174" s="18">
        <v>-232.547</v>
      </c>
      <c r="S174" s="17">
        <v>-2.7000000000000001E-3</v>
      </c>
      <c r="T174" s="4">
        <v>7.1999999999999998E-3</v>
      </c>
    </row>
    <row r="175" spans="1:23" ht="18" x14ac:dyDescent="0.3">
      <c r="A175" s="11">
        <v>0</v>
      </c>
      <c r="B175" s="11">
        <v>-1E-4</v>
      </c>
      <c r="C175" s="11">
        <v>0.42768</v>
      </c>
      <c r="D175" s="11">
        <v>0.42768</v>
      </c>
      <c r="E175" s="11">
        <v>0.42768</v>
      </c>
      <c r="F175" s="11">
        <v>-1E-4</v>
      </c>
      <c r="G175" s="11">
        <v>-0.1004</v>
      </c>
      <c r="H175" s="11">
        <v>1.1560999999999999</v>
      </c>
      <c r="I175" s="11">
        <v>1.026</v>
      </c>
      <c r="J175" s="11">
        <v>1.1997199999999999</v>
      </c>
      <c r="K175" s="11">
        <v>0</v>
      </c>
      <c r="L175" s="11">
        <v>102053</v>
      </c>
      <c r="M175" s="11">
        <v>1.2266999999999999</v>
      </c>
      <c r="N175" s="23">
        <v>10850000</v>
      </c>
      <c r="O175" s="11">
        <v>-9.1023999999999994</v>
      </c>
      <c r="P175" s="16">
        <v>33.537700000000001</v>
      </c>
      <c r="Q175" s="18">
        <v>-7.0000000000000007E-2</v>
      </c>
      <c r="R175" s="18">
        <v>-484.14699999999999</v>
      </c>
      <c r="S175" s="17">
        <v>-1.81E-3</v>
      </c>
      <c r="T175" s="4">
        <v>6.6899999999999998E-3</v>
      </c>
    </row>
    <row r="176" spans="1:23" ht="18" x14ac:dyDescent="0.3">
      <c r="A176" s="11">
        <v>2.9999999999999997E-4</v>
      </c>
      <c r="B176" s="11">
        <v>-2.0000000000000001E-4</v>
      </c>
      <c r="C176" s="11">
        <v>0.30881999999999998</v>
      </c>
      <c r="D176" s="11">
        <v>0.30881999999999998</v>
      </c>
      <c r="E176" s="11">
        <v>0.30881999999999998</v>
      </c>
      <c r="F176" s="11">
        <v>-2.0000000000000001E-4</v>
      </c>
      <c r="G176" s="11">
        <v>-8.0299999999999996E-2</v>
      </c>
      <c r="H176" s="11">
        <v>1.5529999999999999</v>
      </c>
      <c r="I176" s="11">
        <v>1.026</v>
      </c>
      <c r="J176" s="11">
        <v>1.99997</v>
      </c>
      <c r="K176" s="11">
        <v>0</v>
      </c>
      <c r="L176" s="11">
        <v>283346</v>
      </c>
      <c r="M176" s="11">
        <v>1.2255799999999999</v>
      </c>
      <c r="N176" s="23">
        <v>18070000</v>
      </c>
      <c r="O176" s="11">
        <v>-11.7912</v>
      </c>
      <c r="P176" s="16">
        <v>75.168599999999998</v>
      </c>
      <c r="Q176" s="18">
        <v>-7.0000000000000007E-2</v>
      </c>
      <c r="R176" s="18">
        <v>-1067.82</v>
      </c>
      <c r="S176" s="17">
        <v>-8.4999999999999995E-4</v>
      </c>
      <c r="T176" s="4">
        <v>5.4000000000000003E-3</v>
      </c>
    </row>
    <row r="177" spans="1:20" ht="18" x14ac:dyDescent="0.3">
      <c r="A177" s="11">
        <v>2.0000000000000001E-4</v>
      </c>
      <c r="B177" s="11">
        <v>-2.0000000000000001E-4</v>
      </c>
      <c r="C177" s="11">
        <v>0.17519999999999999</v>
      </c>
      <c r="D177" s="11">
        <v>0.17519999999999999</v>
      </c>
      <c r="E177" s="11">
        <v>0.17519999999999999</v>
      </c>
      <c r="F177" s="11">
        <v>-2.0000000000000001E-4</v>
      </c>
      <c r="G177" s="11">
        <v>-4.7899999999999998E-2</v>
      </c>
      <c r="H177" s="11">
        <v>1.3774</v>
      </c>
      <c r="I177" s="11">
        <v>1.026</v>
      </c>
      <c r="J177" s="11">
        <v>4</v>
      </c>
      <c r="K177" s="11">
        <v>0</v>
      </c>
      <c r="L177" s="11">
        <v>1133280</v>
      </c>
      <c r="M177" s="11">
        <v>1.2254400000000001</v>
      </c>
      <c r="N177" s="23">
        <v>36140000</v>
      </c>
      <c r="O177" s="11">
        <v>-26.856200000000001</v>
      </c>
      <c r="P177" s="16">
        <v>179.06800000000001</v>
      </c>
      <c r="Q177" s="18">
        <v>-7.0000000000000007E-2</v>
      </c>
      <c r="R177" s="18">
        <v>-2552.65</v>
      </c>
      <c r="S177" s="17">
        <v>-4.8000000000000001E-4</v>
      </c>
      <c r="T177" s="4">
        <v>3.2200000000000002E-3</v>
      </c>
    </row>
    <row r="178" spans="1:20" ht="18" x14ac:dyDescent="0.3">
      <c r="A178" s="11">
        <v>1E-4</v>
      </c>
      <c r="B178" s="11">
        <v>-2.0000000000000001E-4</v>
      </c>
      <c r="C178" s="11">
        <v>0.14621000000000001</v>
      </c>
      <c r="D178" s="11">
        <v>0.14621000000000001</v>
      </c>
      <c r="E178" s="11">
        <v>0.14621000000000001</v>
      </c>
      <c r="F178" s="11">
        <v>-2.0000000000000001E-4</v>
      </c>
      <c r="G178" s="11">
        <v>-4.07E-2</v>
      </c>
      <c r="H178" s="11">
        <v>1.2292000000000001</v>
      </c>
      <c r="I178" s="11">
        <v>1.026</v>
      </c>
      <c r="J178" s="11">
        <v>6</v>
      </c>
      <c r="K178" s="11">
        <v>0</v>
      </c>
      <c r="L178" s="11">
        <v>2549870</v>
      </c>
      <c r="M178" s="11">
        <v>1.22543</v>
      </c>
      <c r="N178" s="23">
        <v>54200000</v>
      </c>
      <c r="O178" s="11">
        <v>-60.930100000000003</v>
      </c>
      <c r="P178" s="16">
        <v>350.15199999999999</v>
      </c>
      <c r="Q178" s="18">
        <v>-7.0000000000000007E-2</v>
      </c>
      <c r="R178" s="18">
        <v>-4846.7700000000004</v>
      </c>
      <c r="S178" s="17">
        <v>-4.8999999999999998E-4</v>
      </c>
      <c r="T178" s="4">
        <v>2.7899999999999999E-3</v>
      </c>
    </row>
    <row r="179" spans="1:20" ht="18" x14ac:dyDescent="0.3">
      <c r="A179" s="11">
        <v>2.9999999999999997E-4</v>
      </c>
      <c r="B179" s="11">
        <v>-1E-4</v>
      </c>
      <c r="C179" s="11">
        <v>0.13347999999999999</v>
      </c>
      <c r="D179" s="11">
        <v>0.13347999999999999</v>
      </c>
      <c r="E179" s="11">
        <v>0.13347999999999999</v>
      </c>
      <c r="F179" s="11">
        <v>-1E-4</v>
      </c>
      <c r="G179" s="11">
        <v>-3.7900000000000003E-2</v>
      </c>
      <c r="H179" s="11">
        <v>1.7408999999999999</v>
      </c>
      <c r="I179" s="11">
        <v>1.026</v>
      </c>
      <c r="J179" s="11">
        <v>8</v>
      </c>
      <c r="K179" s="11">
        <v>0</v>
      </c>
      <c r="L179" s="11">
        <v>4533110</v>
      </c>
      <c r="M179" s="11">
        <v>1.22543</v>
      </c>
      <c r="N179" s="23">
        <v>72270000</v>
      </c>
      <c r="O179" s="11">
        <v>-111.23399999999999</v>
      </c>
      <c r="P179" s="16">
        <v>586.83299999999997</v>
      </c>
      <c r="Q179" s="18">
        <v>-7.0000000000000007E-2</v>
      </c>
      <c r="R179" s="18">
        <v>-7992.11</v>
      </c>
      <c r="S179" s="17">
        <v>-5.0000000000000001E-4</v>
      </c>
      <c r="T179" s="4">
        <v>2.63E-3</v>
      </c>
    </row>
    <row r="180" spans="1:20" ht="18" x14ac:dyDescent="0.3">
      <c r="A180" s="11">
        <v>2.9999999999999997E-4</v>
      </c>
      <c r="B180" s="11">
        <v>0</v>
      </c>
      <c r="C180" s="11">
        <v>0.12640000000000001</v>
      </c>
      <c r="D180" s="11">
        <v>0.12640000000000001</v>
      </c>
      <c r="E180" s="11">
        <v>0.12640000000000001</v>
      </c>
      <c r="F180" s="11">
        <v>0</v>
      </c>
      <c r="G180" s="11">
        <v>-3.6200000000000003E-2</v>
      </c>
      <c r="H180" s="11">
        <v>-3.5278</v>
      </c>
      <c r="I180" s="11">
        <v>1.026</v>
      </c>
      <c r="J180" s="11">
        <v>10</v>
      </c>
      <c r="K180" s="11">
        <v>0</v>
      </c>
      <c r="L180" s="11">
        <v>7082980</v>
      </c>
      <c r="M180" s="11">
        <v>1.22543</v>
      </c>
      <c r="N180" s="23">
        <v>90340000</v>
      </c>
      <c r="O180" s="11">
        <v>-176.691</v>
      </c>
      <c r="P180" s="16">
        <v>878.36599999999999</v>
      </c>
      <c r="Q180" s="18">
        <v>-7.0000000000000007E-2</v>
      </c>
      <c r="R180" s="18">
        <v>-11863.4</v>
      </c>
      <c r="S180" s="17">
        <v>-5.1000000000000004E-4</v>
      </c>
      <c r="T180" s="4">
        <v>2.5200000000000001E-3</v>
      </c>
    </row>
    <row r="181" spans="1:20" ht="18" x14ac:dyDescent="0.3">
      <c r="P181" s="16"/>
    </row>
    <row r="182" spans="1:20" ht="18" x14ac:dyDescent="0.3">
      <c r="P182" s="16"/>
    </row>
    <row r="183" spans="1:20" ht="18" x14ac:dyDescent="0.3">
      <c r="P183" s="16"/>
    </row>
    <row r="184" spans="1:20" ht="36" x14ac:dyDescent="0.3">
      <c r="A184" s="12" t="s">
        <v>31</v>
      </c>
      <c r="B184" s="12" t="s">
        <v>32</v>
      </c>
      <c r="C184" s="12" t="s">
        <v>33</v>
      </c>
      <c r="D184" s="12" t="s">
        <v>44</v>
      </c>
      <c r="E184" s="12" t="s">
        <v>34</v>
      </c>
      <c r="F184" s="12" t="s">
        <v>35</v>
      </c>
      <c r="G184" s="12" t="s">
        <v>36</v>
      </c>
      <c r="H184" s="12" t="s">
        <v>37</v>
      </c>
      <c r="I184" s="12" t="s">
        <v>38</v>
      </c>
      <c r="J184" s="12" t="s">
        <v>39</v>
      </c>
      <c r="K184" s="12" t="s">
        <v>40</v>
      </c>
      <c r="L184" s="12" t="s">
        <v>41</v>
      </c>
      <c r="M184" s="12" t="s">
        <v>42</v>
      </c>
      <c r="N184" s="12" t="s">
        <v>43</v>
      </c>
      <c r="O184" s="16" t="s">
        <v>45</v>
      </c>
      <c r="P184" s="16" t="s">
        <v>46</v>
      </c>
      <c r="Q184" s="16" t="s">
        <v>47</v>
      </c>
      <c r="R184" s="16" t="s">
        <v>48</v>
      </c>
      <c r="S184" s="16" t="s">
        <v>51</v>
      </c>
      <c r="T184" s="4" t="s">
        <v>52</v>
      </c>
    </row>
    <row r="185" spans="1:20" ht="18" x14ac:dyDescent="0.3">
      <c r="A185" s="11">
        <v>-3.4599999999999999E-2</v>
      </c>
      <c r="B185" s="11">
        <v>0.1318</v>
      </c>
      <c r="C185" s="11">
        <v>0.18429999999999999</v>
      </c>
      <c r="D185" s="11">
        <v>0.18429999999999999</v>
      </c>
      <c r="E185" s="11">
        <v>0.18878</v>
      </c>
      <c r="F185" s="11">
        <v>0.12520000000000001</v>
      </c>
      <c r="G185" s="11">
        <v>-9.0200000000000002E-2</v>
      </c>
      <c r="H185" s="11">
        <v>1.1301000000000001</v>
      </c>
      <c r="I185" s="11">
        <v>1.026</v>
      </c>
      <c r="J185" s="11">
        <v>0.3</v>
      </c>
      <c r="K185" s="11">
        <v>2</v>
      </c>
      <c r="L185" s="11">
        <v>6374.73</v>
      </c>
      <c r="M185" s="11">
        <v>1.22543</v>
      </c>
      <c r="N185" s="23">
        <v>2710000</v>
      </c>
      <c r="O185" s="11">
        <v>-0.44019999999999998</v>
      </c>
      <c r="P185" s="16">
        <v>1.0095000000000001</v>
      </c>
      <c r="Q185" s="18">
        <v>-7.0000000000000007E-2</v>
      </c>
      <c r="R185" s="18">
        <v>-14.055899999999999</v>
      </c>
      <c r="S185" s="17">
        <v>-1.41E-3</v>
      </c>
      <c r="T185" s="4">
        <v>3.2200000000000002E-3</v>
      </c>
    </row>
    <row r="186" spans="1:20" ht="18" x14ac:dyDescent="0.3">
      <c r="A186" s="11">
        <v>-4.07E-2</v>
      </c>
      <c r="B186" s="11">
        <v>0.13639999999999999</v>
      </c>
      <c r="C186" s="11">
        <v>0.18493000000000001</v>
      </c>
      <c r="D186" s="11">
        <v>0.18493000000000001</v>
      </c>
      <c r="E186" s="11">
        <v>0.18956999999999999</v>
      </c>
      <c r="F186" s="11">
        <v>0.12989999999999999</v>
      </c>
      <c r="G186" s="11">
        <v>-9.3899999999999997E-2</v>
      </c>
      <c r="H186" s="11">
        <v>1.1445000000000001</v>
      </c>
      <c r="I186" s="11">
        <v>1.026</v>
      </c>
      <c r="J186" s="11">
        <v>0.5</v>
      </c>
      <c r="K186" s="11">
        <v>2</v>
      </c>
      <c r="L186" s="11">
        <v>17707.599999999999</v>
      </c>
      <c r="M186" s="11">
        <v>1.22543</v>
      </c>
      <c r="N186" s="23">
        <v>4517000</v>
      </c>
      <c r="O186" s="11">
        <v>-1.2373000000000001</v>
      </c>
      <c r="P186" s="16">
        <v>2.8997999999999999</v>
      </c>
      <c r="Q186" s="18">
        <v>-7.0000000000000007E-2</v>
      </c>
      <c r="R186" s="18">
        <v>-40.396299999999997</v>
      </c>
      <c r="S186" s="17">
        <v>-1.42E-3</v>
      </c>
      <c r="T186" s="4">
        <v>3.3300000000000001E-3</v>
      </c>
    </row>
    <row r="187" spans="1:20" ht="18" x14ac:dyDescent="0.3">
      <c r="A187" s="11">
        <v>-6.4199999999999993E-2</v>
      </c>
      <c r="B187" s="11">
        <v>0.157</v>
      </c>
      <c r="C187" s="11">
        <v>0.22731999999999999</v>
      </c>
      <c r="D187" s="11">
        <v>0.22731999999999999</v>
      </c>
      <c r="E187" s="11">
        <v>0.23266000000000001</v>
      </c>
      <c r="F187" s="11">
        <v>0.14899999999999999</v>
      </c>
      <c r="G187" s="11">
        <v>-0.10929999999999999</v>
      </c>
      <c r="H187" s="11">
        <v>1.1881999999999999</v>
      </c>
      <c r="I187" s="11">
        <v>1.026</v>
      </c>
      <c r="J187" s="11">
        <v>0.80001999999999995</v>
      </c>
      <c r="K187" s="11">
        <v>2</v>
      </c>
      <c r="L187" s="11">
        <v>45333.599999999999</v>
      </c>
      <c r="M187" s="11">
        <v>1.2254499999999999</v>
      </c>
      <c r="N187" s="23">
        <v>7227000</v>
      </c>
      <c r="O187" s="11">
        <v>-2.8597999999999999</v>
      </c>
      <c r="P187" s="16">
        <v>8.3477999999999994</v>
      </c>
      <c r="Q187" s="18">
        <v>-7.0000000000000007E-2</v>
      </c>
      <c r="R187" s="18">
        <v>-115.98</v>
      </c>
      <c r="S187" s="17">
        <v>-1.2800000000000001E-3</v>
      </c>
      <c r="T187" s="4">
        <v>3.7499999999999999E-3</v>
      </c>
    </row>
    <row r="188" spans="1:20" ht="18" x14ac:dyDescent="0.3">
      <c r="A188" s="11">
        <v>-6.3500000000000001E-2</v>
      </c>
      <c r="B188" s="11">
        <v>0.14929999999999999</v>
      </c>
      <c r="C188" s="11">
        <v>0.42830000000000001</v>
      </c>
      <c r="D188" s="11">
        <v>0.42830000000000001</v>
      </c>
      <c r="E188" s="11">
        <v>0.43325000000000002</v>
      </c>
      <c r="F188" s="11">
        <v>0.1343</v>
      </c>
      <c r="G188" s="11">
        <v>-0.1021</v>
      </c>
      <c r="H188" s="11">
        <v>1.1947000000000001</v>
      </c>
      <c r="I188" s="11">
        <v>1.026</v>
      </c>
      <c r="J188" s="11">
        <v>1.1997199999999999</v>
      </c>
      <c r="K188" s="11">
        <v>2</v>
      </c>
      <c r="L188" s="11">
        <v>102053</v>
      </c>
      <c r="M188" s="11">
        <v>1.2266900000000001</v>
      </c>
      <c r="N188" s="23">
        <v>10850000</v>
      </c>
      <c r="O188" s="11">
        <v>-4.0816999999999997</v>
      </c>
      <c r="P188" s="16">
        <v>16.04</v>
      </c>
      <c r="Q188" s="18">
        <v>-7.0000000000000007E-2</v>
      </c>
      <c r="R188" s="18">
        <v>-220.01599999999999</v>
      </c>
      <c r="S188" s="17">
        <v>-8.0999999999999996E-4</v>
      </c>
      <c r="T188" s="4">
        <v>3.2000000000000002E-3</v>
      </c>
    </row>
    <row r="189" spans="1:20" ht="18" x14ac:dyDescent="0.3">
      <c r="A189" s="11">
        <v>-2.9499999999999998E-2</v>
      </c>
      <c r="B189" s="11">
        <v>0.1128</v>
      </c>
      <c r="C189" s="11">
        <v>0.31022</v>
      </c>
      <c r="D189" s="11">
        <v>0.31022</v>
      </c>
      <c r="E189" s="11">
        <v>0.31397000000000003</v>
      </c>
      <c r="F189" s="11">
        <v>0.1019</v>
      </c>
      <c r="G189" s="11">
        <v>-8.0500000000000002E-2</v>
      </c>
      <c r="H189" s="11">
        <v>1.1298999999999999</v>
      </c>
      <c r="I189" s="11">
        <v>1.026</v>
      </c>
      <c r="J189" s="11">
        <v>1.99997</v>
      </c>
      <c r="K189" s="11">
        <v>2</v>
      </c>
      <c r="L189" s="11">
        <v>283346</v>
      </c>
      <c r="M189" s="11">
        <v>1.2255799999999999</v>
      </c>
      <c r="N189" s="23">
        <v>18070000</v>
      </c>
      <c r="O189" s="11">
        <v>-5.4584999999999999</v>
      </c>
      <c r="P189" s="16">
        <v>42.886099999999999</v>
      </c>
      <c r="Q189" s="18">
        <v>-7.0000000000000007E-2</v>
      </c>
      <c r="R189" s="18">
        <v>-568.06399999999996</v>
      </c>
      <c r="S189" s="17">
        <v>-3.8999999999999999E-4</v>
      </c>
      <c r="T189" s="4">
        <v>3.0799999999999998E-3</v>
      </c>
    </row>
    <row r="190" spans="1:20" ht="18" x14ac:dyDescent="0.3">
      <c r="A190" s="11">
        <v>-1.47E-2</v>
      </c>
      <c r="B190" s="11">
        <v>9.1399999999999995E-2</v>
      </c>
      <c r="C190" s="11">
        <v>0.17632999999999999</v>
      </c>
      <c r="D190" s="11">
        <v>0.17632999999999999</v>
      </c>
      <c r="E190" s="11">
        <v>0.17940999999999999</v>
      </c>
      <c r="F190" s="11">
        <v>8.5199999999999998E-2</v>
      </c>
      <c r="G190" s="11">
        <v>-4.87E-2</v>
      </c>
      <c r="H190" s="11">
        <v>1.0899000000000001</v>
      </c>
      <c r="I190" s="11">
        <v>1.026</v>
      </c>
      <c r="J190" s="11">
        <v>4</v>
      </c>
      <c r="K190" s="11">
        <v>2</v>
      </c>
      <c r="L190" s="11">
        <v>1133280</v>
      </c>
      <c r="M190" s="11">
        <v>1.2254400000000001</v>
      </c>
      <c r="N190" s="23">
        <v>36140000</v>
      </c>
      <c r="O190" s="11">
        <v>-11.5434</v>
      </c>
      <c r="P190" s="16">
        <v>108.1</v>
      </c>
      <c r="Q190" s="18">
        <v>-7.0000000000000007E-2</v>
      </c>
      <c r="R190" s="18">
        <v>-1404.76</v>
      </c>
      <c r="S190" s="17">
        <v>-2.1000000000000001E-4</v>
      </c>
      <c r="T190" s="4">
        <v>1.9400000000000001E-3</v>
      </c>
    </row>
    <row r="191" spans="1:20" ht="18" x14ac:dyDescent="0.3">
      <c r="A191" s="11">
        <v>-1.72E-2</v>
      </c>
      <c r="B191" s="11">
        <v>8.5599999999999996E-2</v>
      </c>
      <c r="C191" s="11">
        <v>0.14876</v>
      </c>
      <c r="D191" s="11">
        <v>0.14876</v>
      </c>
      <c r="E191" s="11">
        <v>0.15165999999999999</v>
      </c>
      <c r="F191" s="11">
        <v>8.0399999999999999E-2</v>
      </c>
      <c r="G191" s="11">
        <v>-4.1599999999999998E-2</v>
      </c>
      <c r="H191" s="11">
        <v>1.1054999999999999</v>
      </c>
      <c r="I191" s="11">
        <v>1.026</v>
      </c>
      <c r="J191" s="11">
        <v>6</v>
      </c>
      <c r="K191" s="11">
        <v>2</v>
      </c>
      <c r="L191" s="11">
        <v>2549880</v>
      </c>
      <c r="M191" s="11">
        <v>1.22543</v>
      </c>
      <c r="N191" s="23">
        <v>54200000</v>
      </c>
      <c r="O191" s="11">
        <v>-23.549299999999999</v>
      </c>
      <c r="P191" s="16">
        <v>214.99199999999999</v>
      </c>
      <c r="Q191" s="18">
        <v>-7.0000000000000007E-2</v>
      </c>
      <c r="R191" s="18">
        <v>-2652.69</v>
      </c>
      <c r="S191" s="17">
        <v>-1.9000000000000001E-4</v>
      </c>
      <c r="T191" s="4">
        <v>1.72E-3</v>
      </c>
    </row>
    <row r="192" spans="1:20" ht="18" x14ac:dyDescent="0.3">
      <c r="A192" s="11">
        <v>-1.9800000000000002E-2</v>
      </c>
      <c r="B192" s="11">
        <v>8.1000000000000003E-2</v>
      </c>
      <c r="C192" s="11">
        <v>0.13555</v>
      </c>
      <c r="D192" s="11">
        <v>0.13555</v>
      </c>
      <c r="E192" s="11">
        <v>0.13829</v>
      </c>
      <c r="F192" s="11">
        <v>7.6300000000000007E-2</v>
      </c>
      <c r="G192" s="11">
        <v>-3.8399999999999997E-2</v>
      </c>
      <c r="H192" s="11">
        <v>1.1229</v>
      </c>
      <c r="I192" s="11">
        <v>1.026</v>
      </c>
      <c r="J192" s="11">
        <v>8</v>
      </c>
      <c r="K192" s="11">
        <v>2</v>
      </c>
      <c r="L192" s="11">
        <v>4533110</v>
      </c>
      <c r="M192" s="11">
        <v>1.22543</v>
      </c>
      <c r="N192" s="23">
        <v>72270000</v>
      </c>
      <c r="O192" s="11">
        <v>-35.347799999999999</v>
      </c>
      <c r="P192" s="16">
        <v>377.642</v>
      </c>
      <c r="Q192" s="18">
        <v>-7.0000000000000007E-2</v>
      </c>
      <c r="R192" s="18">
        <v>-4420.37</v>
      </c>
      <c r="S192" s="17">
        <v>-1.6000000000000001E-4</v>
      </c>
      <c r="T192" s="4">
        <v>1.6999999999999999E-3</v>
      </c>
    </row>
    <row r="193" spans="1:20" ht="18" x14ac:dyDescent="0.3">
      <c r="A193" s="11">
        <v>-1.61E-2</v>
      </c>
      <c r="B193" s="11">
        <v>7.4800000000000005E-2</v>
      </c>
      <c r="C193" s="11">
        <v>0.12855</v>
      </c>
      <c r="D193" s="11">
        <v>0.12855</v>
      </c>
      <c r="E193" s="11">
        <v>0.13108</v>
      </c>
      <c r="F193" s="11">
        <v>7.0199999999999999E-2</v>
      </c>
      <c r="G193" s="11">
        <v>-3.6499999999999998E-2</v>
      </c>
      <c r="H193" s="11">
        <v>1.1116999999999999</v>
      </c>
      <c r="I193" s="11">
        <v>1.026</v>
      </c>
      <c r="J193" s="11">
        <v>10</v>
      </c>
      <c r="K193" s="11">
        <v>2</v>
      </c>
      <c r="L193" s="11">
        <v>7082990</v>
      </c>
      <c r="M193" s="11">
        <v>1.22543</v>
      </c>
      <c r="N193" s="23">
        <v>90340000</v>
      </c>
      <c r="O193" s="11">
        <v>-52.8782</v>
      </c>
      <c r="P193" s="16">
        <v>589.74</v>
      </c>
      <c r="Q193" s="18">
        <v>-7.0000000000000007E-2</v>
      </c>
      <c r="R193" s="18">
        <v>-6774.93</v>
      </c>
      <c r="S193" s="17">
        <v>-1.4999999999999999E-4</v>
      </c>
      <c r="T193" s="4">
        <v>1.6900000000000001E-3</v>
      </c>
    </row>
    <row r="194" spans="1:20" ht="18" x14ac:dyDescent="0.3">
      <c r="P194" s="16"/>
    </row>
    <row r="196" spans="1:20" ht="36" x14ac:dyDescent="0.3">
      <c r="A196" s="12" t="s">
        <v>31</v>
      </c>
      <c r="B196" s="12" t="s">
        <v>32</v>
      </c>
      <c r="C196" s="12" t="s">
        <v>33</v>
      </c>
      <c r="D196" s="12" t="s">
        <v>44</v>
      </c>
      <c r="E196" s="12" t="s">
        <v>34</v>
      </c>
      <c r="F196" s="12" t="s">
        <v>35</v>
      </c>
      <c r="G196" s="12" t="s">
        <v>36</v>
      </c>
      <c r="H196" s="12" t="s">
        <v>37</v>
      </c>
      <c r="I196" s="12" t="s">
        <v>38</v>
      </c>
      <c r="J196" s="12" t="s">
        <v>39</v>
      </c>
      <c r="K196" s="12" t="s">
        <v>40</v>
      </c>
      <c r="L196" s="12" t="s">
        <v>41</v>
      </c>
      <c r="M196" s="12" t="s">
        <v>42</v>
      </c>
      <c r="N196" s="12" t="s">
        <v>43</v>
      </c>
      <c r="O196" s="16" t="s">
        <v>45</v>
      </c>
      <c r="P196" s="16" t="s">
        <v>46</v>
      </c>
      <c r="Q196" s="16" t="s">
        <v>47</v>
      </c>
      <c r="R196" s="16" t="s">
        <v>48</v>
      </c>
      <c r="S196" s="16" t="s">
        <v>51</v>
      </c>
      <c r="T196" s="4" t="s">
        <v>52</v>
      </c>
    </row>
    <row r="197" spans="1:20" ht="18" x14ac:dyDescent="0.3">
      <c r="A197" s="11">
        <v>-7.1800000000000003E-2</v>
      </c>
      <c r="B197" s="11">
        <v>0.26269999999999999</v>
      </c>
      <c r="C197" s="11">
        <v>0.18557999999999999</v>
      </c>
      <c r="D197" s="11">
        <v>0.18557999999999999</v>
      </c>
      <c r="E197" s="11">
        <v>0.20346</v>
      </c>
      <c r="F197" s="11">
        <v>0.24909999999999999</v>
      </c>
      <c r="G197" s="11">
        <v>-9.1200000000000003E-2</v>
      </c>
      <c r="H197" s="11">
        <v>1.1346000000000001</v>
      </c>
      <c r="I197" s="11">
        <v>1.026</v>
      </c>
      <c r="J197" s="11">
        <v>0.3</v>
      </c>
      <c r="K197" s="11">
        <v>4</v>
      </c>
      <c r="L197" s="11">
        <v>6374.73</v>
      </c>
      <c r="M197" s="11">
        <v>1.22543</v>
      </c>
      <c r="N197" s="23">
        <v>2710000</v>
      </c>
      <c r="O197" s="11">
        <v>-1.3899999999999999E-2</v>
      </c>
      <c r="P197" s="16">
        <v>0.17399999999999999</v>
      </c>
      <c r="Q197" s="18">
        <v>-7.0000000000000007E-2</v>
      </c>
      <c r="R197" s="18">
        <v>-1.4462999999999999</v>
      </c>
      <c r="S197" s="17">
        <v>-4.0000000000000003E-5</v>
      </c>
      <c r="T197" s="4">
        <v>5.5999999999999995E-4</v>
      </c>
    </row>
    <row r="198" spans="1:20" ht="18" x14ac:dyDescent="0.3">
      <c r="A198" s="11">
        <v>-8.2000000000000003E-2</v>
      </c>
      <c r="B198" s="11">
        <v>0.27200000000000002</v>
      </c>
      <c r="C198" s="11">
        <v>0.18432000000000001</v>
      </c>
      <c r="D198" s="11">
        <v>0.18432000000000001</v>
      </c>
      <c r="E198" s="11">
        <v>0.20285</v>
      </c>
      <c r="F198" s="11">
        <v>0.25850000000000001</v>
      </c>
      <c r="G198" s="11">
        <v>-9.5100000000000004E-2</v>
      </c>
      <c r="H198" s="11">
        <v>1.1456999999999999</v>
      </c>
      <c r="I198" s="11">
        <v>1.026</v>
      </c>
      <c r="J198" s="11">
        <v>0.5</v>
      </c>
      <c r="K198" s="11">
        <v>4</v>
      </c>
      <c r="L198" s="11">
        <v>17707.7</v>
      </c>
      <c r="M198" s="11">
        <v>1.22543</v>
      </c>
      <c r="N198" s="25">
        <v>4517000</v>
      </c>
      <c r="O198" s="11">
        <v>-2.4E-2</v>
      </c>
      <c r="P198" s="16">
        <v>0.47260000000000002</v>
      </c>
      <c r="Q198" s="18">
        <v>-7.0000000000000007E-2</v>
      </c>
      <c r="R198" s="18">
        <v>-3.7481</v>
      </c>
      <c r="S198" s="17">
        <v>-3.0000000000000001E-5</v>
      </c>
      <c r="T198" s="4">
        <v>5.4000000000000001E-4</v>
      </c>
    </row>
    <row r="199" spans="1:20" ht="18" x14ac:dyDescent="0.3">
      <c r="A199" s="11">
        <v>-0.12820000000000001</v>
      </c>
      <c r="B199" s="11">
        <v>0.31359999999999999</v>
      </c>
      <c r="C199" s="11">
        <v>0.22395000000000001</v>
      </c>
      <c r="D199" s="11">
        <v>0.22395000000000001</v>
      </c>
      <c r="E199" s="11">
        <v>0.24528</v>
      </c>
      <c r="F199" s="11">
        <v>0.29730000000000001</v>
      </c>
      <c r="G199" s="11">
        <v>-0.1119</v>
      </c>
      <c r="H199" s="11">
        <v>1.1882999999999999</v>
      </c>
      <c r="I199" s="11">
        <v>1.026</v>
      </c>
      <c r="J199" s="11">
        <v>0.80001999999999995</v>
      </c>
      <c r="K199" s="11">
        <v>4</v>
      </c>
      <c r="L199" s="11">
        <v>45333.9</v>
      </c>
      <c r="M199" s="11">
        <v>1.2254499999999999</v>
      </c>
      <c r="N199" s="23">
        <v>7227000</v>
      </c>
      <c r="O199" s="11">
        <v>7.4800000000000005E-2</v>
      </c>
      <c r="P199" s="16">
        <v>0.92559999999999998</v>
      </c>
      <c r="Q199" s="18">
        <v>-7.0000000000000007E-2</v>
      </c>
      <c r="R199" s="18">
        <v>-3.9260000000000002</v>
      </c>
      <c r="S199" s="17">
        <v>3.0000000000000001E-5</v>
      </c>
      <c r="T199" s="4">
        <v>4.2000000000000002E-4</v>
      </c>
    </row>
    <row r="200" spans="1:20" ht="18" x14ac:dyDescent="0.3">
      <c r="A200" s="11">
        <v>-0.12470000000000001</v>
      </c>
      <c r="B200" s="11">
        <v>0.2964</v>
      </c>
      <c r="C200" s="11">
        <v>0.42893999999999999</v>
      </c>
      <c r="D200" s="11">
        <v>0.42893999999999999</v>
      </c>
      <c r="E200" s="11">
        <v>0.44857000000000002</v>
      </c>
      <c r="F200" s="11">
        <v>0.26569999999999999</v>
      </c>
      <c r="G200" s="11">
        <v>-0.1065</v>
      </c>
      <c r="H200" s="11">
        <v>1.1930000000000001</v>
      </c>
      <c r="I200" s="11">
        <v>1.026</v>
      </c>
      <c r="J200" s="11">
        <v>1.1997800000000001</v>
      </c>
      <c r="K200" s="11">
        <v>4</v>
      </c>
      <c r="L200" s="11">
        <v>102042</v>
      </c>
      <c r="M200" s="11">
        <v>1.22645</v>
      </c>
      <c r="N200" s="23">
        <v>10850000</v>
      </c>
      <c r="O200" s="11">
        <v>0.51910000000000001</v>
      </c>
      <c r="P200" s="16">
        <v>0.2298</v>
      </c>
      <c r="Q200" s="18">
        <v>-7.0000000000000007E-2</v>
      </c>
      <c r="R200" s="18">
        <v>17.864799999999999</v>
      </c>
      <c r="S200" s="17">
        <v>1E-4</v>
      </c>
      <c r="T200" s="4">
        <v>5.0000000000000002E-5</v>
      </c>
    </row>
    <row r="201" spans="1:20" ht="18" x14ac:dyDescent="0.3">
      <c r="A201" s="11">
        <v>-5.7799999999999997E-2</v>
      </c>
      <c r="B201" s="11">
        <v>0.22559999999999999</v>
      </c>
      <c r="C201" s="11">
        <v>0.31041000000000002</v>
      </c>
      <c r="D201" s="11">
        <v>0.31041000000000002</v>
      </c>
      <c r="E201" s="11">
        <v>0.32539000000000001</v>
      </c>
      <c r="F201" s="11">
        <v>0.2034</v>
      </c>
      <c r="G201" s="11">
        <v>-8.1000000000000003E-2</v>
      </c>
      <c r="H201" s="11">
        <v>1.1277999999999999</v>
      </c>
      <c r="I201" s="11">
        <v>1.026</v>
      </c>
      <c r="J201" s="11">
        <v>1.99997</v>
      </c>
      <c r="K201" s="11">
        <v>4</v>
      </c>
      <c r="L201" s="11">
        <v>283344</v>
      </c>
      <c r="M201" s="11">
        <v>1.22557</v>
      </c>
      <c r="N201" s="23">
        <v>18070000</v>
      </c>
      <c r="O201" s="11">
        <v>0.69689999999999996</v>
      </c>
      <c r="P201" s="16">
        <v>11.5771</v>
      </c>
      <c r="Q201" s="18">
        <v>-7.0000000000000007E-2</v>
      </c>
      <c r="R201" s="18">
        <v>-102.84399999999999</v>
      </c>
      <c r="S201" s="17">
        <v>5.0000000000000002E-5</v>
      </c>
      <c r="T201" s="4">
        <v>8.3000000000000001E-4</v>
      </c>
    </row>
    <row r="202" spans="1:20" ht="18" x14ac:dyDescent="0.3">
      <c r="A202" s="11">
        <v>-2.76E-2</v>
      </c>
      <c r="B202" s="11">
        <v>0.1842</v>
      </c>
      <c r="C202" s="11">
        <v>0.18085000000000001</v>
      </c>
      <c r="D202" s="11">
        <v>0.18085000000000001</v>
      </c>
      <c r="E202" s="11">
        <v>0.19325999999999999</v>
      </c>
      <c r="F202" s="11">
        <v>0.1711</v>
      </c>
      <c r="G202" s="11">
        <v>-5.0599999999999999E-2</v>
      </c>
      <c r="H202" s="11">
        <v>1.0854999999999999</v>
      </c>
      <c r="I202" s="11">
        <v>1.026</v>
      </c>
      <c r="J202" s="11">
        <v>4</v>
      </c>
      <c r="K202" s="11">
        <v>4</v>
      </c>
      <c r="L202" s="11">
        <v>1133280</v>
      </c>
      <c r="M202" s="11">
        <v>1.2254400000000001</v>
      </c>
      <c r="N202" s="23">
        <v>36140000</v>
      </c>
      <c r="O202" s="11">
        <v>1.8922000000000001</v>
      </c>
      <c r="P202" s="16">
        <v>43.793599999999998</v>
      </c>
      <c r="Q202" s="18">
        <v>-7.0000000000000007E-2</v>
      </c>
      <c r="R202" s="18">
        <v>-415.56099999999998</v>
      </c>
      <c r="S202" s="17">
        <v>3.0000000000000001E-5</v>
      </c>
      <c r="T202" s="4">
        <v>7.9000000000000001E-4</v>
      </c>
    </row>
    <row r="203" spans="1:20" ht="18" x14ac:dyDescent="0.3">
      <c r="A203" s="11">
        <v>-3.1199999999999999E-2</v>
      </c>
      <c r="B203" s="11">
        <v>0.1731</v>
      </c>
      <c r="C203" s="11">
        <v>0.15359</v>
      </c>
      <c r="D203" s="11">
        <v>0.15359</v>
      </c>
      <c r="E203" s="11">
        <v>0.16528999999999999</v>
      </c>
      <c r="F203" s="11">
        <v>0.16200000000000001</v>
      </c>
      <c r="G203" s="11">
        <v>-4.3499999999999997E-2</v>
      </c>
      <c r="H203" s="11">
        <v>1.0974999999999999</v>
      </c>
      <c r="I203" s="11">
        <v>1.026</v>
      </c>
      <c r="J203" s="11">
        <v>6</v>
      </c>
      <c r="K203" s="11">
        <v>4</v>
      </c>
      <c r="L203" s="11">
        <v>2549880</v>
      </c>
      <c r="M203" s="11">
        <v>1.22543</v>
      </c>
      <c r="N203" s="23">
        <v>54200000</v>
      </c>
      <c r="O203" s="11">
        <v>3.8464</v>
      </c>
      <c r="P203" s="16">
        <v>98.831599999999995</v>
      </c>
      <c r="Q203" s="18">
        <v>-7.0000000000000007E-2</v>
      </c>
      <c r="R203" s="18">
        <v>-899.10900000000004</v>
      </c>
      <c r="S203" s="17">
        <v>3.0000000000000001E-5</v>
      </c>
      <c r="T203" s="4">
        <v>7.9000000000000001E-4</v>
      </c>
    </row>
    <row r="204" spans="1:20" ht="18" x14ac:dyDescent="0.3">
      <c r="A204" s="11">
        <v>-3.3700000000000001E-2</v>
      </c>
      <c r="B204" s="11">
        <v>0.16450000000000001</v>
      </c>
      <c r="C204" s="11">
        <v>0.13997999999999999</v>
      </c>
      <c r="D204" s="11">
        <v>0.13997999999999999</v>
      </c>
      <c r="E204" s="11">
        <v>0.15112</v>
      </c>
      <c r="F204" s="11">
        <v>0.15429999999999999</v>
      </c>
      <c r="G204" s="11">
        <v>-3.9699999999999999E-2</v>
      </c>
      <c r="H204" s="11">
        <v>1.1073999999999999</v>
      </c>
      <c r="I204" s="11">
        <v>1.026</v>
      </c>
      <c r="J204" s="11">
        <v>8</v>
      </c>
      <c r="K204" s="11">
        <v>4</v>
      </c>
      <c r="L204" s="11">
        <v>4533110</v>
      </c>
      <c r="M204" s="11">
        <v>1.22543</v>
      </c>
      <c r="N204" s="23">
        <v>72270000</v>
      </c>
      <c r="O204" s="11">
        <v>10.7447</v>
      </c>
      <c r="P204" s="16">
        <v>188.994</v>
      </c>
      <c r="Q204" s="18">
        <v>-7.0000000000000007E-2</v>
      </c>
      <c r="R204" s="18">
        <v>-1653.84</v>
      </c>
      <c r="S204" s="17">
        <v>5.0000000000000002E-5</v>
      </c>
      <c r="T204" s="4">
        <v>8.4999999999999995E-4</v>
      </c>
    </row>
    <row r="205" spans="1:20" ht="18" x14ac:dyDescent="0.3">
      <c r="A205" s="11">
        <v>-3.0599999999999999E-2</v>
      </c>
      <c r="B205" s="11">
        <v>0.15690000000000001</v>
      </c>
      <c r="C205" s="11">
        <v>0.13311999999999999</v>
      </c>
      <c r="D205" s="11">
        <v>0.13311999999999999</v>
      </c>
      <c r="E205" s="11">
        <v>0.14373</v>
      </c>
      <c r="F205" s="11">
        <v>0.1472</v>
      </c>
      <c r="G205" s="11">
        <v>-3.7400000000000003E-2</v>
      </c>
      <c r="H205" s="11">
        <v>1.1034999999999999</v>
      </c>
      <c r="I205" s="11">
        <v>1.026</v>
      </c>
      <c r="J205" s="11">
        <v>10</v>
      </c>
      <c r="K205" s="11">
        <v>4</v>
      </c>
      <c r="L205" s="11">
        <v>7082980</v>
      </c>
      <c r="M205" s="11">
        <v>1.22543</v>
      </c>
      <c r="N205" s="23">
        <v>90340000</v>
      </c>
      <c r="O205" s="11">
        <v>17.930399999999999</v>
      </c>
      <c r="P205" s="16">
        <v>314.49400000000003</v>
      </c>
      <c r="Q205" s="18">
        <v>-7.0000000000000007E-2</v>
      </c>
      <c r="R205" s="18">
        <v>-2765.99</v>
      </c>
      <c r="S205" s="17">
        <v>5.0000000000000002E-5</v>
      </c>
      <c r="T205" s="4">
        <v>8.9999999999999998E-4</v>
      </c>
    </row>
    <row r="206" spans="1:20" ht="18" x14ac:dyDescent="0.3">
      <c r="P206" s="16"/>
    </row>
    <row r="209" spans="1:20" ht="36" x14ac:dyDescent="0.3">
      <c r="A209" s="12" t="s">
        <v>31</v>
      </c>
      <c r="B209" s="12" t="s">
        <v>32</v>
      </c>
      <c r="C209" s="12" t="s">
        <v>33</v>
      </c>
      <c r="D209" s="12" t="s">
        <v>44</v>
      </c>
      <c r="E209" s="12" t="s">
        <v>34</v>
      </c>
      <c r="F209" s="12" t="s">
        <v>35</v>
      </c>
      <c r="G209" s="12" t="s">
        <v>36</v>
      </c>
      <c r="H209" s="12" t="s">
        <v>37</v>
      </c>
      <c r="I209" s="12" t="s">
        <v>38</v>
      </c>
      <c r="J209" s="12" t="s">
        <v>39</v>
      </c>
      <c r="K209" s="12" t="s">
        <v>40</v>
      </c>
      <c r="L209" s="12" t="s">
        <v>41</v>
      </c>
      <c r="M209" s="12" t="s">
        <v>42</v>
      </c>
      <c r="N209" s="12" t="s">
        <v>43</v>
      </c>
      <c r="O209" s="16" t="s">
        <v>45</v>
      </c>
      <c r="P209" s="16" t="s">
        <v>46</v>
      </c>
      <c r="Q209" s="16" t="s">
        <v>47</v>
      </c>
      <c r="R209" s="16" t="s">
        <v>48</v>
      </c>
      <c r="S209" s="16" t="s">
        <v>51</v>
      </c>
      <c r="T209" s="4" t="s">
        <v>52</v>
      </c>
    </row>
    <row r="210" spans="1:20" ht="18" x14ac:dyDescent="0.3">
      <c r="A210" s="11">
        <v>-0.14929999999999999</v>
      </c>
      <c r="B210" s="11">
        <v>0.52390000000000003</v>
      </c>
      <c r="C210" s="11">
        <v>0.16830999999999999</v>
      </c>
      <c r="D210" s="11">
        <v>0.16830999999999999</v>
      </c>
      <c r="E210" s="11">
        <v>0.23957999999999999</v>
      </c>
      <c r="F210" s="11">
        <v>0.49530000000000002</v>
      </c>
      <c r="G210" s="11">
        <v>-9.1999999999999998E-2</v>
      </c>
      <c r="H210" s="11">
        <v>1.1391</v>
      </c>
      <c r="I210" s="13">
        <v>1.026</v>
      </c>
      <c r="J210" s="11">
        <v>0.3</v>
      </c>
      <c r="K210" s="11">
        <v>8</v>
      </c>
      <c r="L210" s="11">
        <v>6374.74</v>
      </c>
      <c r="M210" s="11">
        <v>1.22543</v>
      </c>
      <c r="N210" s="23">
        <v>2710000</v>
      </c>
      <c r="O210" s="11">
        <v>0.84770000000000001</v>
      </c>
      <c r="P210" s="16">
        <v>-1.4557</v>
      </c>
      <c r="Q210" s="18">
        <v>-7.0000000000000007E-2</v>
      </c>
      <c r="R210" s="18">
        <v>23.599599999999999</v>
      </c>
      <c r="S210" s="17">
        <v>2.7100000000000002E-3</v>
      </c>
      <c r="T210" s="4">
        <v>-4.6499999999999996E-3</v>
      </c>
    </row>
    <row r="211" spans="1:20" ht="18" x14ac:dyDescent="0.3">
      <c r="A211" s="11">
        <v>-0.16719999999999999</v>
      </c>
      <c r="B211" s="11">
        <v>0.54310000000000003</v>
      </c>
      <c r="C211" s="11">
        <v>0.16855999999999999</v>
      </c>
      <c r="D211" s="11">
        <v>0.16855999999999999</v>
      </c>
      <c r="E211" s="11">
        <v>0.24251</v>
      </c>
      <c r="F211" s="11">
        <v>0.51439999999999997</v>
      </c>
      <c r="G211" s="11">
        <v>-9.6000000000000002E-2</v>
      </c>
      <c r="H211" s="11">
        <v>1.1482000000000001</v>
      </c>
      <c r="I211" s="13">
        <v>1.026</v>
      </c>
      <c r="J211" s="11">
        <v>0.5</v>
      </c>
      <c r="K211" s="11">
        <v>8</v>
      </c>
      <c r="L211" s="11">
        <v>17707.7</v>
      </c>
      <c r="M211" s="11">
        <v>1.22543</v>
      </c>
      <c r="N211" s="23">
        <v>4517000</v>
      </c>
      <c r="O211" s="11">
        <v>2.4312</v>
      </c>
      <c r="P211" s="16">
        <v>-4.2678000000000003</v>
      </c>
      <c r="Q211" s="18">
        <v>-7.0000000000000007E-2</v>
      </c>
      <c r="R211" s="18">
        <v>69.248400000000004</v>
      </c>
      <c r="S211" s="17">
        <v>2.7899999999999999E-3</v>
      </c>
      <c r="T211" s="4">
        <v>-4.8999999999999998E-3</v>
      </c>
    </row>
    <row r="212" spans="1:20" ht="18" x14ac:dyDescent="0.3">
      <c r="A212" s="11">
        <v>-0.25850000000000001</v>
      </c>
      <c r="B212" s="11">
        <v>0.62980000000000003</v>
      </c>
      <c r="C212" s="11">
        <v>0.20996000000000001</v>
      </c>
      <c r="D212" s="11">
        <v>0.20996000000000001</v>
      </c>
      <c r="E212" s="11">
        <v>0.29557</v>
      </c>
      <c r="F212" s="11">
        <v>0.59450000000000003</v>
      </c>
      <c r="G212" s="11">
        <v>-0.1168</v>
      </c>
      <c r="H212" s="11">
        <v>1.1889000000000001</v>
      </c>
      <c r="I212" s="13">
        <v>1.026</v>
      </c>
      <c r="J212" s="11">
        <v>0.80001999999999995</v>
      </c>
      <c r="K212" s="11">
        <v>8</v>
      </c>
      <c r="L212" s="11">
        <v>45335.3</v>
      </c>
      <c r="M212" s="11">
        <v>1.2254799999999999</v>
      </c>
      <c r="N212" s="23">
        <v>7227000</v>
      </c>
      <c r="O212" s="11">
        <v>5.8910999999999998</v>
      </c>
      <c r="P212" s="16">
        <v>-13.817</v>
      </c>
      <c r="Q212" s="18">
        <v>-7.0000000000000007E-2</v>
      </c>
      <c r="R212" s="18">
        <v>222.68799999999999</v>
      </c>
      <c r="S212" s="17">
        <v>2.64E-3</v>
      </c>
      <c r="T212" s="4">
        <v>-6.1999999999999998E-3</v>
      </c>
    </row>
    <row r="213" spans="1:20" ht="18" x14ac:dyDescent="0.3">
      <c r="A213" s="11">
        <v>-0.23760000000000001</v>
      </c>
      <c r="B213" s="11">
        <v>0.58699999999999997</v>
      </c>
      <c r="C213" s="11">
        <v>0.42687000000000003</v>
      </c>
      <c r="D213" s="11">
        <v>0.42687000000000003</v>
      </c>
      <c r="E213" s="11">
        <v>0.50439999999999996</v>
      </c>
      <c r="F213" s="11">
        <v>0.52180000000000004</v>
      </c>
      <c r="G213" s="11">
        <v>-0.1104</v>
      </c>
      <c r="H213" s="11">
        <v>1.1867000000000001</v>
      </c>
      <c r="I213" s="13">
        <v>1.026</v>
      </c>
      <c r="J213" s="11">
        <v>1.1998200000000001</v>
      </c>
      <c r="K213" s="11">
        <v>8</v>
      </c>
      <c r="L213" s="11">
        <v>102031</v>
      </c>
      <c r="M213" s="11">
        <v>1.2262299999999999</v>
      </c>
      <c r="N213" s="23">
        <v>10850000</v>
      </c>
      <c r="O213" s="11">
        <v>9.6753999999999998</v>
      </c>
      <c r="P213" s="16">
        <v>-29.715699999999998</v>
      </c>
      <c r="Q213" s="18">
        <v>-7.0000000000000007E-2</v>
      </c>
      <c r="R213" s="18">
        <v>473.81200000000001</v>
      </c>
      <c r="S213" s="17">
        <v>1.9300000000000001E-3</v>
      </c>
      <c r="T213" s="4">
        <v>-5.9300000000000004E-3</v>
      </c>
    </row>
    <row r="214" spans="1:20" ht="18" x14ac:dyDescent="0.3">
      <c r="A214" s="11">
        <v>-0.1103</v>
      </c>
      <c r="B214" s="11">
        <v>0.46060000000000001</v>
      </c>
      <c r="C214" s="11">
        <v>0.30797000000000002</v>
      </c>
      <c r="D214" s="11">
        <v>0.30797000000000002</v>
      </c>
      <c r="E214" s="11">
        <v>0.36908000000000002</v>
      </c>
      <c r="F214" s="11">
        <v>0.4133</v>
      </c>
      <c r="G214" s="11">
        <v>-8.0699999999999994E-2</v>
      </c>
      <c r="H214" s="11">
        <v>1.121</v>
      </c>
      <c r="I214" s="13">
        <v>1.026</v>
      </c>
      <c r="J214" s="11">
        <v>1.99997</v>
      </c>
      <c r="K214" s="11">
        <v>8</v>
      </c>
      <c r="L214" s="11">
        <v>283340</v>
      </c>
      <c r="M214" s="11">
        <v>1.2255499999999999</v>
      </c>
      <c r="N214" s="23">
        <v>18070000</v>
      </c>
      <c r="O214" s="11">
        <v>11.553000000000001</v>
      </c>
      <c r="P214" s="16">
        <v>-49.125700000000002</v>
      </c>
      <c r="Q214" s="18">
        <v>-7.0000000000000007E-2</v>
      </c>
      <c r="R214" s="18">
        <v>792.24</v>
      </c>
      <c r="S214" s="17">
        <v>8.3000000000000001E-4</v>
      </c>
      <c r="T214" s="4">
        <v>-3.5300000000000002E-3</v>
      </c>
    </row>
    <row r="215" spans="1:20" ht="18" x14ac:dyDescent="0.3">
      <c r="A215" s="11">
        <v>-5.2900000000000003E-2</v>
      </c>
      <c r="B215" s="11">
        <v>0.3901</v>
      </c>
      <c r="C215" s="11">
        <v>0.19439000000000001</v>
      </c>
      <c r="D215" s="11">
        <v>0.19439000000000001</v>
      </c>
      <c r="E215" s="11">
        <v>0.24679999999999999</v>
      </c>
      <c r="F215" s="11">
        <v>0.35930000000000001</v>
      </c>
      <c r="G215" s="11">
        <v>-5.6099999999999997E-2</v>
      </c>
      <c r="H215" s="11">
        <v>1.0798000000000001</v>
      </c>
      <c r="I215" s="13">
        <v>1.026</v>
      </c>
      <c r="J215" s="11">
        <v>4</v>
      </c>
      <c r="K215" s="11">
        <v>8</v>
      </c>
      <c r="L215" s="11">
        <v>1133290</v>
      </c>
      <c r="M215" s="11">
        <v>1.2254400000000001</v>
      </c>
      <c r="N215" s="23">
        <v>36140000</v>
      </c>
      <c r="O215" s="11">
        <v>23.168199999999999</v>
      </c>
      <c r="P215" s="16">
        <v>-76.747799999999998</v>
      </c>
      <c r="Q215" s="18">
        <v>-7.0000000000000007E-2</v>
      </c>
      <c r="R215" s="18">
        <v>1374.98</v>
      </c>
      <c r="S215" s="17">
        <v>4.2000000000000002E-4</v>
      </c>
      <c r="T215" s="4">
        <v>-1.3799999999999999E-3</v>
      </c>
    </row>
    <row r="216" spans="1:20" ht="18" x14ac:dyDescent="0.3">
      <c r="A216" s="11">
        <v>-5.3600000000000002E-2</v>
      </c>
      <c r="B216" s="11">
        <v>0.36449999999999999</v>
      </c>
      <c r="C216" s="11">
        <v>0.16627</v>
      </c>
      <c r="D216" s="11">
        <v>0.16627</v>
      </c>
      <c r="E216" s="11">
        <v>0.21537999999999999</v>
      </c>
      <c r="F216" s="11">
        <v>0.33779999999999999</v>
      </c>
      <c r="G216" s="11">
        <v>-4.8399999999999999E-2</v>
      </c>
      <c r="H216" s="11">
        <v>1.0844</v>
      </c>
      <c r="I216" s="13">
        <v>1.026</v>
      </c>
      <c r="J216" s="11">
        <v>6</v>
      </c>
      <c r="K216" s="11">
        <v>8</v>
      </c>
      <c r="L216" s="11">
        <v>2549890</v>
      </c>
      <c r="M216" s="11">
        <v>1.2254400000000001</v>
      </c>
      <c r="N216" s="23">
        <v>54200000</v>
      </c>
      <c r="O216" s="11">
        <v>40.693199999999997</v>
      </c>
      <c r="P216" s="16">
        <v>-103.911</v>
      </c>
      <c r="Q216" s="18">
        <v>-7.0000000000000007E-2</v>
      </c>
      <c r="R216" s="18">
        <v>1970.83</v>
      </c>
      <c r="S216" s="17">
        <v>3.2000000000000003E-4</v>
      </c>
      <c r="T216" s="4">
        <v>-8.3000000000000001E-4</v>
      </c>
    </row>
    <row r="217" spans="1:20" ht="18" x14ac:dyDescent="0.3">
      <c r="A217" s="11">
        <v>-4.9799999999999997E-2</v>
      </c>
      <c r="B217" s="11">
        <v>0.34399999999999997</v>
      </c>
      <c r="C217" s="11">
        <v>0.15356</v>
      </c>
      <c r="D217" s="11">
        <v>0.15356</v>
      </c>
      <c r="E217" s="11">
        <v>0.19993</v>
      </c>
      <c r="F217" s="11">
        <v>0.31919999999999998</v>
      </c>
      <c r="G217" s="11">
        <v>-4.3999999999999997E-2</v>
      </c>
      <c r="H217" s="11">
        <v>1.0834999999999999</v>
      </c>
      <c r="I217" s="13">
        <v>1.026</v>
      </c>
      <c r="J217" s="11">
        <v>8</v>
      </c>
      <c r="K217" s="11">
        <v>8</v>
      </c>
      <c r="L217" s="11">
        <v>4533130</v>
      </c>
      <c r="M217" s="11">
        <v>1.2254400000000001</v>
      </c>
      <c r="N217" s="23">
        <v>72270000</v>
      </c>
      <c r="O217" s="11">
        <v>62.814100000000003</v>
      </c>
      <c r="P217" s="16">
        <v>-126.776</v>
      </c>
      <c r="Q217" s="18">
        <v>-7.0000000000000007E-2</v>
      </c>
      <c r="R217" s="18">
        <v>2629.49</v>
      </c>
      <c r="S217" s="17">
        <v>2.7999999999999998E-4</v>
      </c>
      <c r="T217" s="4">
        <v>-5.6999999999999998E-4</v>
      </c>
    </row>
    <row r="218" spans="1:20" ht="18" x14ac:dyDescent="0.3">
      <c r="A218" s="11">
        <v>-4.4699999999999997E-2</v>
      </c>
      <c r="B218" s="11">
        <v>0.33110000000000001</v>
      </c>
      <c r="C218" s="11">
        <v>0.14693000000000001</v>
      </c>
      <c r="D218" s="11">
        <v>0.14693000000000001</v>
      </c>
      <c r="E218" s="11">
        <v>0.19158</v>
      </c>
      <c r="F218" s="11">
        <v>0.30740000000000001</v>
      </c>
      <c r="G218" s="11">
        <v>-4.1300000000000003E-2</v>
      </c>
      <c r="H218" s="11">
        <v>1.0795999999999999</v>
      </c>
      <c r="I218" s="11">
        <v>1.026</v>
      </c>
      <c r="J218" s="11">
        <v>10</v>
      </c>
      <c r="K218" s="11">
        <v>8</v>
      </c>
      <c r="L218" s="11">
        <v>7083020</v>
      </c>
      <c r="M218" s="11">
        <v>1.2254400000000001</v>
      </c>
      <c r="N218" s="23">
        <v>90340000</v>
      </c>
      <c r="O218" s="11">
        <v>82.499300000000005</v>
      </c>
      <c r="P218" s="16">
        <v>-159.00299999999999</v>
      </c>
      <c r="Q218" s="18">
        <v>-7.0000000000000007E-2</v>
      </c>
      <c r="R218" s="18">
        <v>3375.95</v>
      </c>
      <c r="S218" s="17">
        <v>2.4000000000000001E-4</v>
      </c>
      <c r="T218" s="4">
        <v>-4.6000000000000001E-4</v>
      </c>
    </row>
    <row r="219" spans="1:20" ht="18" x14ac:dyDescent="0.3">
      <c r="P219" s="16"/>
    </row>
    <row r="223" spans="1:20" ht="36" x14ac:dyDescent="0.3">
      <c r="A223" s="12" t="s">
        <v>31</v>
      </c>
      <c r="B223" s="12" t="s">
        <v>32</v>
      </c>
      <c r="C223" s="12" t="s">
        <v>33</v>
      </c>
      <c r="D223" s="12" t="s">
        <v>44</v>
      </c>
      <c r="E223" s="12" t="s">
        <v>34</v>
      </c>
      <c r="F223" s="12" t="s">
        <v>35</v>
      </c>
      <c r="G223" s="12" t="s">
        <v>36</v>
      </c>
      <c r="H223" s="12" t="s">
        <v>37</v>
      </c>
      <c r="I223" s="12" t="s">
        <v>38</v>
      </c>
      <c r="J223" s="12" t="s">
        <v>39</v>
      </c>
      <c r="K223" s="12" t="s">
        <v>40</v>
      </c>
      <c r="L223" s="12" t="s">
        <v>41</v>
      </c>
      <c r="M223" s="12" t="s">
        <v>42</v>
      </c>
      <c r="N223" s="12" t="s">
        <v>43</v>
      </c>
      <c r="O223" s="16" t="s">
        <v>45</v>
      </c>
      <c r="P223" s="16" t="s">
        <v>46</v>
      </c>
      <c r="Q223" s="16" t="s">
        <v>47</v>
      </c>
      <c r="R223" s="16" t="s">
        <v>48</v>
      </c>
      <c r="S223" s="16" t="s">
        <v>51</v>
      </c>
      <c r="T223" s="4" t="s">
        <v>52</v>
      </c>
    </row>
    <row r="224" spans="1:20" ht="18" x14ac:dyDescent="0.3">
      <c r="A224" s="11">
        <v>-0.22789999999999999</v>
      </c>
      <c r="B224" s="11">
        <v>0.78180000000000005</v>
      </c>
      <c r="C224" s="11">
        <v>0.13703000000000001</v>
      </c>
      <c r="D224" s="11">
        <v>0.13703000000000001</v>
      </c>
      <c r="E224" s="11">
        <v>0.29659000000000002</v>
      </c>
      <c r="F224" s="11">
        <v>0.73619999999999997</v>
      </c>
      <c r="G224" s="11">
        <v>-8.9700000000000002E-2</v>
      </c>
      <c r="H224" s="11">
        <v>1.1416999999999999</v>
      </c>
      <c r="I224" s="11">
        <v>1.026</v>
      </c>
      <c r="J224" s="11">
        <v>0.3</v>
      </c>
      <c r="K224" s="11">
        <v>12</v>
      </c>
      <c r="L224" s="11">
        <v>6374.76</v>
      </c>
      <c r="M224" s="11">
        <v>1.22543</v>
      </c>
      <c r="N224" s="23">
        <v>2710000</v>
      </c>
      <c r="O224" s="11">
        <v>1.7142999999999999</v>
      </c>
      <c r="P224" s="16">
        <v>-3.0038</v>
      </c>
      <c r="Q224" s="18">
        <v>-7.0000000000000007E-2</v>
      </c>
      <c r="R224" s="18">
        <v>48.383499999999998</v>
      </c>
      <c r="S224" s="17">
        <v>5.47E-3</v>
      </c>
      <c r="T224" s="4">
        <v>-9.5899999999999996E-3</v>
      </c>
    </row>
    <row r="225" spans="1:20" ht="18" x14ac:dyDescent="0.3">
      <c r="A225" s="11">
        <v>-0.25519999999999998</v>
      </c>
      <c r="B225" s="11">
        <v>0.81420000000000003</v>
      </c>
      <c r="C225" s="11">
        <v>0.14710000000000001</v>
      </c>
      <c r="D225" s="11">
        <v>0.14710000000000001</v>
      </c>
      <c r="E225" s="11">
        <v>0.31318000000000001</v>
      </c>
      <c r="F225" s="11">
        <v>0.76590000000000003</v>
      </c>
      <c r="G225" s="11">
        <v>-9.3600000000000003E-2</v>
      </c>
      <c r="H225" s="11">
        <v>1.1504000000000001</v>
      </c>
      <c r="I225" s="11">
        <v>1.026</v>
      </c>
      <c r="J225" s="11">
        <v>0.5</v>
      </c>
      <c r="K225" s="11">
        <v>12</v>
      </c>
      <c r="L225" s="11">
        <v>17707.8</v>
      </c>
      <c r="M225" s="11">
        <v>1.22543</v>
      </c>
      <c r="N225" s="23">
        <v>4517000</v>
      </c>
      <c r="O225" s="11">
        <v>4.9170999999999996</v>
      </c>
      <c r="P225" s="16">
        <v>-8.7906999999999993</v>
      </c>
      <c r="Q225" s="18">
        <v>-7.0000000000000007E-2</v>
      </c>
      <c r="R225" s="18">
        <v>141.93799999999999</v>
      </c>
      <c r="S225" s="17">
        <v>5.6499999999999996E-3</v>
      </c>
      <c r="T225" s="4">
        <v>-1.01E-2</v>
      </c>
    </row>
    <row r="226" spans="1:20" ht="18" x14ac:dyDescent="0.3">
      <c r="A226" s="11">
        <v>-0.35749999999999998</v>
      </c>
      <c r="B226" s="11">
        <v>0.91879999999999995</v>
      </c>
      <c r="C226" s="11">
        <v>0.19771</v>
      </c>
      <c r="D226" s="11">
        <v>0.19771</v>
      </c>
      <c r="E226" s="11">
        <v>0.38441999999999998</v>
      </c>
      <c r="F226" s="11">
        <v>0.85760000000000003</v>
      </c>
      <c r="G226" s="11">
        <v>-9.7100000000000006E-2</v>
      </c>
      <c r="H226" s="11">
        <v>1.1803999999999999</v>
      </c>
      <c r="I226" s="11">
        <v>1.026</v>
      </c>
      <c r="J226" s="11">
        <v>0.80003000000000002</v>
      </c>
      <c r="K226" s="11">
        <v>12</v>
      </c>
      <c r="L226" s="11">
        <v>45338</v>
      </c>
      <c r="M226" s="11">
        <v>1.2255199999999999</v>
      </c>
      <c r="N226" s="23">
        <v>7228000</v>
      </c>
      <c r="O226" s="11">
        <v>11.679600000000001</v>
      </c>
      <c r="P226" s="16">
        <v>-28.274699999999999</v>
      </c>
      <c r="Q226" s="18">
        <v>-7.0000000000000007E-2</v>
      </c>
      <c r="R226" s="18">
        <v>451.678</v>
      </c>
      <c r="S226" s="17">
        <v>5.2399999999999999E-3</v>
      </c>
      <c r="T226" s="4">
        <v>-1.269E-2</v>
      </c>
    </row>
    <row r="227" spans="1:20" ht="18" x14ac:dyDescent="0.3">
      <c r="A227" s="11">
        <v>-0.33090000000000003</v>
      </c>
      <c r="B227" s="11">
        <v>0.87050000000000005</v>
      </c>
      <c r="C227" s="11">
        <v>0.42048000000000002</v>
      </c>
      <c r="D227" s="11">
        <v>0.42048000000000002</v>
      </c>
      <c r="E227" s="11">
        <v>0.59228000000000003</v>
      </c>
      <c r="F227" s="11">
        <v>0.7641</v>
      </c>
      <c r="G227" s="11">
        <v>-0.1028</v>
      </c>
      <c r="H227" s="11">
        <v>1.1769000000000001</v>
      </c>
      <c r="I227" s="11">
        <v>1.026</v>
      </c>
      <c r="J227" s="11">
        <v>1.1998200000000001</v>
      </c>
      <c r="K227" s="11">
        <v>12</v>
      </c>
      <c r="L227" s="11">
        <v>102027</v>
      </c>
      <c r="M227" s="11">
        <v>1.22618</v>
      </c>
      <c r="N227" s="23">
        <v>10850000</v>
      </c>
      <c r="O227" s="11">
        <v>17.985700000000001</v>
      </c>
      <c r="P227" s="16">
        <v>-58.618499999999997</v>
      </c>
      <c r="Q227" s="18">
        <v>-7.0000000000000007E-2</v>
      </c>
      <c r="R227" s="18">
        <v>911.26099999999997</v>
      </c>
      <c r="S227" s="17">
        <v>3.5899999999999999E-3</v>
      </c>
      <c r="T227" s="4">
        <v>-1.1690000000000001E-2</v>
      </c>
    </row>
    <row r="228" spans="1:20" ht="18" x14ac:dyDescent="0.3">
      <c r="A228" s="11">
        <v>-0.15529999999999999</v>
      </c>
      <c r="B228" s="11">
        <v>0.72219999999999995</v>
      </c>
      <c r="C228" s="11">
        <v>0.30531000000000003</v>
      </c>
      <c r="D228" s="11">
        <v>0.30531000000000003</v>
      </c>
      <c r="E228" s="11">
        <v>0.44878000000000001</v>
      </c>
      <c r="F228" s="11">
        <v>0.64290000000000003</v>
      </c>
      <c r="G228" s="11">
        <v>-7.8399999999999997E-2</v>
      </c>
      <c r="H228" s="11">
        <v>1.1113999999999999</v>
      </c>
      <c r="I228" s="11">
        <v>1.026</v>
      </c>
      <c r="J228" s="11">
        <v>1.99997</v>
      </c>
      <c r="K228" s="11">
        <v>12</v>
      </c>
      <c r="L228" s="11">
        <v>283336</v>
      </c>
      <c r="M228" s="11">
        <v>1.22553</v>
      </c>
      <c r="N228" s="23">
        <v>18070000</v>
      </c>
      <c r="O228" s="11">
        <v>20.461099999999998</v>
      </c>
      <c r="P228" s="16">
        <v>-103.798</v>
      </c>
      <c r="Q228" s="18">
        <v>-7.0000000000000007E-2</v>
      </c>
      <c r="R228" s="18">
        <v>1611.98</v>
      </c>
      <c r="S228" s="17">
        <v>1.47E-3</v>
      </c>
      <c r="T228" s="4">
        <v>-7.45E-3</v>
      </c>
    </row>
    <row r="229" spans="1:20" ht="18" x14ac:dyDescent="0.3">
      <c r="A229" s="11">
        <v>-7.9600000000000004E-2</v>
      </c>
      <c r="B229" s="11">
        <v>0.63149999999999995</v>
      </c>
      <c r="C229" s="11">
        <v>0.20680999999999999</v>
      </c>
      <c r="D229" s="11">
        <v>0.20680999999999999</v>
      </c>
      <c r="E229" s="11">
        <v>0.33359</v>
      </c>
      <c r="F229" s="11">
        <v>0.57469999999999999</v>
      </c>
      <c r="G229" s="11">
        <v>-6.0699999999999997E-2</v>
      </c>
      <c r="H229" s="11">
        <v>1.0760000000000001</v>
      </c>
      <c r="I229" s="11">
        <v>1.026</v>
      </c>
      <c r="J229" s="11">
        <v>4</v>
      </c>
      <c r="K229" s="11">
        <v>12</v>
      </c>
      <c r="L229" s="11">
        <v>1133290</v>
      </c>
      <c r="M229" s="11">
        <v>1.2254400000000001</v>
      </c>
      <c r="N229" s="23">
        <v>36140000</v>
      </c>
      <c r="O229" s="11">
        <v>35.146599999999999</v>
      </c>
      <c r="P229" s="16">
        <v>-180.02199999999999</v>
      </c>
      <c r="Q229" s="18">
        <v>-7.0000000000000007E-2</v>
      </c>
      <c r="R229" s="18">
        <v>2744.77</v>
      </c>
      <c r="S229" s="17">
        <v>6.3000000000000003E-4</v>
      </c>
      <c r="T229" s="4">
        <v>-3.2299999999999998E-3</v>
      </c>
    </row>
    <row r="230" spans="1:20" ht="18" x14ac:dyDescent="0.3">
      <c r="A230" s="11">
        <v>-6.9699999999999998E-2</v>
      </c>
      <c r="B230" s="11">
        <v>0.57550000000000001</v>
      </c>
      <c r="C230" s="11">
        <v>0.18195</v>
      </c>
      <c r="D230" s="11">
        <v>0.18195</v>
      </c>
      <c r="E230" s="11">
        <v>0.29763000000000001</v>
      </c>
      <c r="F230" s="11">
        <v>0.52510000000000001</v>
      </c>
      <c r="G230" s="11">
        <v>-5.3100000000000001E-2</v>
      </c>
      <c r="H230" s="11">
        <v>1.0741000000000001</v>
      </c>
      <c r="I230" s="11">
        <v>1.026</v>
      </c>
      <c r="J230" s="11">
        <v>6</v>
      </c>
      <c r="K230" s="11">
        <v>12</v>
      </c>
      <c r="L230" s="11">
        <v>2549920</v>
      </c>
      <c r="M230" s="11">
        <v>1.2254499999999999</v>
      </c>
      <c r="N230" s="23">
        <v>54200000</v>
      </c>
      <c r="O230" s="11">
        <v>57.7348</v>
      </c>
      <c r="P230" s="16">
        <v>-252.84899999999999</v>
      </c>
      <c r="Q230" s="18">
        <v>-7.0000000000000007E-2</v>
      </c>
      <c r="R230" s="18">
        <v>3924.2</v>
      </c>
      <c r="S230" s="17">
        <v>4.6000000000000001E-4</v>
      </c>
      <c r="T230" s="4">
        <v>-2.0200000000000001E-3</v>
      </c>
    </row>
    <row r="231" spans="1:20" ht="18" x14ac:dyDescent="0.3">
      <c r="A231" s="11">
        <v>-6.0499999999999998E-2</v>
      </c>
      <c r="B231" s="11">
        <v>0.54100000000000004</v>
      </c>
      <c r="C231" s="11">
        <v>0.17127999999999999</v>
      </c>
      <c r="D231" s="11">
        <v>0.17127999999999999</v>
      </c>
      <c r="E231" s="11">
        <v>0.28001999999999999</v>
      </c>
      <c r="F231" s="11">
        <v>0.49359999999999998</v>
      </c>
      <c r="G231" s="11">
        <v>-4.8899999999999999E-2</v>
      </c>
      <c r="H231" s="11">
        <v>1.0704</v>
      </c>
      <c r="I231" s="11">
        <v>1.026</v>
      </c>
      <c r="J231" s="11">
        <v>8</v>
      </c>
      <c r="K231" s="11">
        <v>12</v>
      </c>
      <c r="L231" s="11">
        <v>4533210</v>
      </c>
      <c r="M231" s="11">
        <v>1.22546</v>
      </c>
      <c r="N231" s="23">
        <v>72270000</v>
      </c>
      <c r="O231" s="11">
        <v>78.779200000000003</v>
      </c>
      <c r="P231" s="16">
        <v>-342.90499999999997</v>
      </c>
      <c r="Q231" s="18">
        <v>-7.0000000000000007E-2</v>
      </c>
      <c r="R231" s="18">
        <v>5306.33</v>
      </c>
      <c r="S231" s="17">
        <v>3.5E-4</v>
      </c>
      <c r="T231" s="4">
        <v>-1.5399999999999999E-3</v>
      </c>
    </row>
    <row r="232" spans="1:20" ht="18" x14ac:dyDescent="0.3">
      <c r="A232" s="11">
        <v>-5.3199999999999997E-2</v>
      </c>
      <c r="B232" s="11">
        <v>0.52100000000000002</v>
      </c>
      <c r="C232" s="11">
        <v>0.16594999999999999</v>
      </c>
      <c r="D232" s="11">
        <v>0.16594999999999999</v>
      </c>
      <c r="E232" s="11">
        <v>0.27063999999999999</v>
      </c>
      <c r="F232" s="11">
        <v>0.47510000000000002</v>
      </c>
      <c r="G232" s="11">
        <v>-4.65E-2</v>
      </c>
      <c r="H232" s="11">
        <v>1.0665</v>
      </c>
      <c r="I232" s="11">
        <v>1.026</v>
      </c>
      <c r="J232" s="11">
        <v>10</v>
      </c>
      <c r="K232" s="11">
        <v>12</v>
      </c>
      <c r="L232" s="11">
        <v>7083180</v>
      </c>
      <c r="M232" s="11">
        <v>1.22546</v>
      </c>
      <c r="N232" s="23">
        <v>90340000</v>
      </c>
      <c r="O232" s="11">
        <v>94.126099999999994</v>
      </c>
      <c r="P232" s="16">
        <v>-460.745</v>
      </c>
      <c r="Q232" s="18">
        <v>-7.0000000000000007E-2</v>
      </c>
      <c r="R232" s="18">
        <v>6893</v>
      </c>
      <c r="S232" s="17">
        <v>2.7E-4</v>
      </c>
      <c r="T232" s="4">
        <v>-1.32E-3</v>
      </c>
    </row>
    <row r="233" spans="1:20" ht="18" x14ac:dyDescent="0.3">
      <c r="P233" s="16"/>
    </row>
    <row r="235" spans="1:20" ht="36" x14ac:dyDescent="0.3">
      <c r="A235" s="12" t="s">
        <v>31</v>
      </c>
      <c r="B235" s="12" t="s">
        <v>32</v>
      </c>
      <c r="C235" s="12" t="s">
        <v>33</v>
      </c>
      <c r="D235" s="12" t="s">
        <v>44</v>
      </c>
      <c r="E235" s="12" t="s">
        <v>34</v>
      </c>
      <c r="F235" s="12" t="s">
        <v>35</v>
      </c>
      <c r="G235" s="12" t="s">
        <v>36</v>
      </c>
      <c r="H235" s="12" t="s">
        <v>37</v>
      </c>
      <c r="I235" s="12" t="s">
        <v>38</v>
      </c>
      <c r="J235" s="12" t="s">
        <v>39</v>
      </c>
      <c r="K235" s="12" t="s">
        <v>40</v>
      </c>
      <c r="L235" s="12" t="s">
        <v>41</v>
      </c>
      <c r="M235" s="12" t="s">
        <v>42</v>
      </c>
      <c r="N235" s="12" t="s">
        <v>43</v>
      </c>
      <c r="O235" s="16" t="s">
        <v>45</v>
      </c>
      <c r="P235" s="16" t="s">
        <v>46</v>
      </c>
      <c r="Q235" s="16" t="s">
        <v>47</v>
      </c>
      <c r="R235" s="16" t="s">
        <v>48</v>
      </c>
      <c r="S235" s="16" t="s">
        <v>51</v>
      </c>
      <c r="T235" s="4" t="s">
        <v>52</v>
      </c>
    </row>
    <row r="236" spans="1:20" ht="18" x14ac:dyDescent="0.3">
      <c r="A236" s="11">
        <v>-0.30620000000000003</v>
      </c>
      <c r="B236" s="11">
        <v>1.0346</v>
      </c>
      <c r="C236" s="11">
        <v>9.1939999999999994E-2</v>
      </c>
      <c r="D236" s="11">
        <v>9.1939999999999994E-2</v>
      </c>
      <c r="E236" s="11">
        <v>0.37354999999999999</v>
      </c>
      <c r="F236" s="11">
        <v>0.96919999999999995</v>
      </c>
      <c r="G236" s="11">
        <v>-8.4599999999999995E-2</v>
      </c>
      <c r="H236" s="11">
        <v>1.1435</v>
      </c>
      <c r="I236" s="13">
        <v>1.026</v>
      </c>
      <c r="J236" s="11">
        <v>0.3</v>
      </c>
      <c r="K236" s="11">
        <v>16</v>
      </c>
      <c r="L236" s="11">
        <v>6374.79</v>
      </c>
      <c r="M236" s="11">
        <v>1.22543</v>
      </c>
      <c r="N236" s="23">
        <v>2710000</v>
      </c>
      <c r="O236" s="11">
        <v>2.548</v>
      </c>
      <c r="P236" s="16">
        <v>-4.4337</v>
      </c>
      <c r="Q236" s="18">
        <v>-7.0000000000000007E-2</v>
      </c>
      <c r="R236" s="18">
        <v>71.971599999999995</v>
      </c>
      <c r="S236" s="17">
        <v>8.1300000000000001E-3</v>
      </c>
      <c r="T236" s="4">
        <v>-1.4149999999999999E-2</v>
      </c>
    </row>
    <row r="237" spans="1:20" ht="18" x14ac:dyDescent="0.3">
      <c r="A237" s="11">
        <v>-0.31059999999999999</v>
      </c>
      <c r="B237" s="11">
        <v>1.0498000000000001</v>
      </c>
      <c r="C237" s="11">
        <v>0.11064</v>
      </c>
      <c r="D237" s="11">
        <v>0.11064</v>
      </c>
      <c r="E237" s="11">
        <v>0.39572000000000002</v>
      </c>
      <c r="F237" s="11">
        <v>0.97860000000000003</v>
      </c>
      <c r="G237" s="11">
        <v>-6.8500000000000005E-2</v>
      </c>
      <c r="H237" s="11">
        <v>1.1435</v>
      </c>
      <c r="I237" s="13">
        <v>1.026</v>
      </c>
      <c r="J237" s="11">
        <v>0.50000999999999995</v>
      </c>
      <c r="K237" s="11">
        <v>16</v>
      </c>
      <c r="L237" s="11">
        <v>17708</v>
      </c>
      <c r="M237" s="11">
        <v>1.2254400000000001</v>
      </c>
      <c r="N237" s="23">
        <v>4517000</v>
      </c>
      <c r="O237" s="11">
        <v>7.2854999999999999</v>
      </c>
      <c r="P237" s="16">
        <v>-12.850199999999999</v>
      </c>
      <c r="Q237" s="18">
        <v>-7.0000000000000007E-2</v>
      </c>
      <c r="R237" s="18">
        <v>209.74299999999999</v>
      </c>
      <c r="S237" s="17">
        <v>8.3700000000000007E-3</v>
      </c>
      <c r="T237" s="4">
        <v>-1.477E-2</v>
      </c>
    </row>
    <row r="238" spans="1:20" ht="18" x14ac:dyDescent="0.3">
      <c r="A238" s="11">
        <v>-0.43230000000000002</v>
      </c>
      <c r="B238" s="11">
        <v>1.1860999999999999</v>
      </c>
      <c r="C238" s="11">
        <v>0.16514999999999999</v>
      </c>
      <c r="D238" s="11">
        <v>0.16514999999999999</v>
      </c>
      <c r="E238" s="11">
        <v>0.48569000000000001</v>
      </c>
      <c r="F238" s="11">
        <v>1.0947</v>
      </c>
      <c r="G238" s="11">
        <v>-6.1199999999999997E-2</v>
      </c>
      <c r="H238" s="11">
        <v>1.1707000000000001</v>
      </c>
      <c r="I238" s="13">
        <v>1.026</v>
      </c>
      <c r="J238" s="11">
        <v>0.80005000000000004</v>
      </c>
      <c r="K238" s="11">
        <v>16</v>
      </c>
      <c r="L238" s="11">
        <v>45342.2</v>
      </c>
      <c r="M238" s="11">
        <v>1.22559</v>
      </c>
      <c r="N238" s="23">
        <v>7228000</v>
      </c>
      <c r="O238" s="11">
        <v>16.6418</v>
      </c>
      <c r="P238" s="16">
        <v>-42.7438</v>
      </c>
      <c r="Q238" s="18">
        <v>-7.0000000000000007E-2</v>
      </c>
      <c r="R238" s="18">
        <v>680.79399999999998</v>
      </c>
      <c r="S238" s="17">
        <v>7.4700000000000001E-3</v>
      </c>
      <c r="T238" s="4">
        <v>-1.9179999999999999E-2</v>
      </c>
    </row>
    <row r="239" spans="1:20" ht="18" x14ac:dyDescent="0.3">
      <c r="A239" s="11">
        <v>-0.39610000000000001</v>
      </c>
      <c r="B239" s="11">
        <v>1.1455</v>
      </c>
      <c r="C239" s="11">
        <v>0.39985999999999999</v>
      </c>
      <c r="D239" s="11">
        <v>0.39985999999999999</v>
      </c>
      <c r="E239" s="11">
        <v>0.70011999999999996</v>
      </c>
      <c r="F239" s="11">
        <v>0.9909</v>
      </c>
      <c r="G239" s="11">
        <v>-8.8800000000000004E-2</v>
      </c>
      <c r="H239" s="11">
        <v>1.1633</v>
      </c>
      <c r="I239" s="13">
        <v>1.026</v>
      </c>
      <c r="J239" s="11">
        <v>1.1998</v>
      </c>
      <c r="K239" s="11">
        <v>16</v>
      </c>
      <c r="L239" s="11">
        <v>102026</v>
      </c>
      <c r="M239" s="11">
        <v>1.22621</v>
      </c>
      <c r="N239" s="23">
        <v>10850000</v>
      </c>
      <c r="O239" s="11">
        <v>23.130099999999999</v>
      </c>
      <c r="P239" s="16">
        <v>-85.028099999999995</v>
      </c>
      <c r="Q239" s="18">
        <v>-7.0000000000000007E-2</v>
      </c>
      <c r="R239" s="18">
        <v>1296.19</v>
      </c>
      <c r="S239" s="17">
        <v>4.6100000000000004E-3</v>
      </c>
      <c r="T239" s="4">
        <v>-1.6959999999999999E-2</v>
      </c>
    </row>
    <row r="240" spans="1:20" ht="18" x14ac:dyDescent="0.3">
      <c r="A240" s="11">
        <v>-0.1883</v>
      </c>
      <c r="B240" s="11">
        <v>1.0356000000000001</v>
      </c>
      <c r="C240" s="11">
        <v>0.30142000000000002</v>
      </c>
      <c r="D240" s="11">
        <v>0.30142000000000002</v>
      </c>
      <c r="E240" s="11">
        <v>0.57520000000000004</v>
      </c>
      <c r="F240" s="11">
        <v>0.91239999999999999</v>
      </c>
      <c r="G240" s="11">
        <v>-7.6399999999999996E-2</v>
      </c>
      <c r="H240" s="11">
        <v>1.0982000000000001</v>
      </c>
      <c r="I240" s="13">
        <v>1.026</v>
      </c>
      <c r="J240" s="11">
        <v>1.99997</v>
      </c>
      <c r="K240" s="11">
        <v>16</v>
      </c>
      <c r="L240" s="11">
        <v>283335</v>
      </c>
      <c r="M240" s="11">
        <v>1.22553</v>
      </c>
      <c r="N240" s="23">
        <v>18070000</v>
      </c>
      <c r="O240" s="11">
        <v>24.1782</v>
      </c>
      <c r="P240" s="16">
        <v>-146.66800000000001</v>
      </c>
      <c r="Q240" s="18">
        <v>-7.0000000000000007E-2</v>
      </c>
      <c r="R240" s="18">
        <v>2211.59</v>
      </c>
      <c r="S240" s="17">
        <v>1.74E-3</v>
      </c>
      <c r="T240" s="4">
        <v>-1.0529999999999999E-2</v>
      </c>
    </row>
    <row r="241" spans="1:20" ht="18" x14ac:dyDescent="0.3">
      <c r="A241" s="11">
        <v>-0.1022</v>
      </c>
      <c r="B241" s="11">
        <v>0.89370000000000005</v>
      </c>
      <c r="C241" s="11">
        <v>0.22281000000000001</v>
      </c>
      <c r="D241" s="11">
        <v>0.22281000000000001</v>
      </c>
      <c r="E241" s="11">
        <v>0.46050000000000002</v>
      </c>
      <c r="F241" s="11">
        <v>0.79759999999999998</v>
      </c>
      <c r="G241" s="11">
        <v>-6.4399999999999999E-2</v>
      </c>
      <c r="H241" s="11">
        <v>1.0713999999999999</v>
      </c>
      <c r="I241" s="13">
        <v>1.026</v>
      </c>
      <c r="J241" s="11">
        <v>4</v>
      </c>
      <c r="K241" s="11">
        <v>16</v>
      </c>
      <c r="L241" s="11">
        <v>1133310</v>
      </c>
      <c r="M241" s="11">
        <v>1.22546</v>
      </c>
      <c r="N241" s="23">
        <v>36140000</v>
      </c>
      <c r="O241" s="11">
        <v>37.972200000000001</v>
      </c>
      <c r="P241" s="16">
        <v>-248.06399999999999</v>
      </c>
      <c r="Q241" s="18">
        <v>-7.0000000000000007E-2</v>
      </c>
      <c r="R241" s="18">
        <v>3606.65</v>
      </c>
      <c r="S241" s="17">
        <v>6.8000000000000005E-4</v>
      </c>
      <c r="T241" s="4">
        <v>-4.45E-3</v>
      </c>
    </row>
    <row r="242" spans="1:20" ht="18" x14ac:dyDescent="0.3">
      <c r="A242" s="11">
        <v>-8.3099999999999993E-2</v>
      </c>
      <c r="B242" s="11">
        <v>0.80300000000000005</v>
      </c>
      <c r="C242" s="11">
        <v>0.20448</v>
      </c>
      <c r="D242" s="11">
        <v>0.20448</v>
      </c>
      <c r="E242" s="11">
        <v>0.41789999999999999</v>
      </c>
      <c r="F242" s="11">
        <v>0.71560000000000001</v>
      </c>
      <c r="G242" s="11">
        <v>-5.8500000000000003E-2</v>
      </c>
      <c r="H242" s="11">
        <v>1.0670999999999999</v>
      </c>
      <c r="I242" s="13">
        <v>1.026</v>
      </c>
      <c r="J242" s="11">
        <v>6</v>
      </c>
      <c r="K242" s="11">
        <v>16</v>
      </c>
      <c r="L242" s="11">
        <v>2550010</v>
      </c>
      <c r="M242" s="11">
        <v>1.22549</v>
      </c>
      <c r="N242" s="23">
        <v>54210000</v>
      </c>
      <c r="O242" s="11">
        <v>57.340499999999999</v>
      </c>
      <c r="P242" s="16">
        <v>-335.10899999999998</v>
      </c>
      <c r="Q242" s="18">
        <v>-7.0000000000000007E-2</v>
      </c>
      <c r="R242" s="18">
        <v>4968.5600000000004</v>
      </c>
      <c r="S242" s="17">
        <v>4.6000000000000001E-4</v>
      </c>
      <c r="T242" s="4">
        <v>-2.6700000000000001E-3</v>
      </c>
    </row>
    <row r="243" spans="1:20" ht="18" x14ac:dyDescent="0.3">
      <c r="A243" s="11">
        <v>-7.0900000000000005E-2</v>
      </c>
      <c r="B243" s="11">
        <v>0.75719999999999998</v>
      </c>
      <c r="C243" s="11">
        <v>0.19520000000000001</v>
      </c>
      <c r="D243" s="11">
        <v>0.19520000000000001</v>
      </c>
      <c r="E243" s="11">
        <v>0.39634999999999998</v>
      </c>
      <c r="F243" s="11">
        <v>0.67400000000000004</v>
      </c>
      <c r="G243" s="11">
        <v>-5.45E-2</v>
      </c>
      <c r="H243" s="11">
        <v>1.0631999999999999</v>
      </c>
      <c r="I243" s="13">
        <v>1.026</v>
      </c>
      <c r="J243" s="11">
        <v>8</v>
      </c>
      <c r="K243" s="11">
        <v>16</v>
      </c>
      <c r="L243" s="11">
        <v>4533410</v>
      </c>
      <c r="M243" s="11">
        <v>1.2255100000000001</v>
      </c>
      <c r="N243" s="23">
        <v>72280000</v>
      </c>
      <c r="O243" s="11">
        <v>78.520399999999995</v>
      </c>
      <c r="P243" s="16">
        <v>-459.62400000000002</v>
      </c>
      <c r="Q243" s="18">
        <v>-7.0000000000000007E-2</v>
      </c>
      <c r="R243" s="18">
        <v>6718.1</v>
      </c>
      <c r="S243" s="17">
        <v>3.5E-4</v>
      </c>
      <c r="T243" s="4">
        <v>-2.0600000000000002E-3</v>
      </c>
    </row>
    <row r="244" spans="1:20" x14ac:dyDescent="0.3">
      <c r="A244" s="11">
        <v>-6.3200000000000006E-2</v>
      </c>
      <c r="B244" s="11">
        <v>0.73270000000000002</v>
      </c>
      <c r="C244" s="11">
        <v>0.19023000000000001</v>
      </c>
      <c r="D244" s="11">
        <v>0.19023000000000001</v>
      </c>
      <c r="E244" s="11">
        <v>0.38482</v>
      </c>
      <c r="F244" s="11">
        <v>0.65190000000000003</v>
      </c>
      <c r="G244" s="11">
        <v>-5.2200000000000003E-2</v>
      </c>
      <c r="H244" s="11">
        <v>1.0602</v>
      </c>
      <c r="I244" s="11">
        <v>1.026</v>
      </c>
      <c r="J244" s="11">
        <v>10</v>
      </c>
      <c r="K244" s="11">
        <v>16</v>
      </c>
      <c r="L244" s="11">
        <v>7083530</v>
      </c>
      <c r="M244" s="11">
        <v>1.2255199999999999</v>
      </c>
      <c r="N244" s="23">
        <v>90340000</v>
      </c>
      <c r="O244" s="11">
        <v>93.167500000000004</v>
      </c>
      <c r="P244" s="18">
        <v>-620.51700000000005</v>
      </c>
      <c r="Q244" s="18">
        <v>-7.0000000000000007E-2</v>
      </c>
      <c r="R244" s="18">
        <v>8798.69</v>
      </c>
      <c r="S244" s="17">
        <v>2.7E-4</v>
      </c>
      <c r="T244" s="4">
        <v>-1.7799999999999999E-3</v>
      </c>
    </row>
    <row r="247" spans="1:20" ht="36" x14ac:dyDescent="0.3">
      <c r="A247" s="12" t="s">
        <v>31</v>
      </c>
      <c r="B247" s="12" t="s">
        <v>32</v>
      </c>
      <c r="C247" s="12" t="s">
        <v>33</v>
      </c>
      <c r="D247" s="12" t="s">
        <v>44</v>
      </c>
      <c r="E247" s="12" t="s">
        <v>34</v>
      </c>
      <c r="F247" s="12" t="s">
        <v>35</v>
      </c>
      <c r="G247" s="12" t="s">
        <v>36</v>
      </c>
      <c r="H247" s="12" t="s">
        <v>37</v>
      </c>
      <c r="I247" s="12" t="s">
        <v>38</v>
      </c>
      <c r="J247" s="12" t="s">
        <v>39</v>
      </c>
      <c r="K247" s="12" t="s">
        <v>40</v>
      </c>
      <c r="L247" s="12" t="s">
        <v>41</v>
      </c>
      <c r="M247" s="12" t="s">
        <v>42</v>
      </c>
      <c r="N247" s="12" t="s">
        <v>43</v>
      </c>
      <c r="O247" s="16" t="s">
        <v>45</v>
      </c>
      <c r="P247" s="16" t="s">
        <v>46</v>
      </c>
      <c r="Q247" s="16" t="s">
        <v>47</v>
      </c>
      <c r="R247" s="16" t="s">
        <v>48</v>
      </c>
      <c r="S247" s="16" t="s">
        <v>51</v>
      </c>
      <c r="T247" s="4" t="s">
        <v>52</v>
      </c>
    </row>
    <row r="248" spans="1:20" ht="18" x14ac:dyDescent="0.3">
      <c r="A248" s="11">
        <v>-0.34510000000000002</v>
      </c>
      <c r="B248" s="11">
        <v>1.2390000000000001</v>
      </c>
      <c r="C248" s="11">
        <v>4.7960000000000003E-2</v>
      </c>
      <c r="D248" s="11">
        <v>4.7960000000000003E-2</v>
      </c>
      <c r="E248" s="11">
        <v>0.46882000000000001</v>
      </c>
      <c r="F248" s="11">
        <v>1.1478999999999999</v>
      </c>
      <c r="G248" s="11">
        <v>-5.2999999999999999E-2</v>
      </c>
      <c r="H248" s="11">
        <v>1.1366000000000001</v>
      </c>
      <c r="I248" s="11">
        <v>1.026</v>
      </c>
      <c r="J248" s="11">
        <v>0.3</v>
      </c>
      <c r="K248" s="11">
        <v>20</v>
      </c>
      <c r="L248" s="11">
        <v>6374.84</v>
      </c>
      <c r="M248" s="11">
        <v>1.22543</v>
      </c>
      <c r="N248" s="23">
        <v>2710000</v>
      </c>
      <c r="O248" s="11">
        <v>3.2858000000000001</v>
      </c>
      <c r="P248" s="16">
        <v>-5.6593999999999998</v>
      </c>
      <c r="Q248" s="18">
        <v>-7.0000000000000007E-2</v>
      </c>
      <c r="R248" s="18">
        <v>92.904600000000002</v>
      </c>
      <c r="S248" s="17">
        <v>1.0489999999999999E-2</v>
      </c>
      <c r="T248" s="4">
        <v>-1.8069999999999999E-2</v>
      </c>
    </row>
    <row r="249" spans="1:20" ht="18" x14ac:dyDescent="0.3">
      <c r="A249" s="11">
        <v>-0.35870000000000002</v>
      </c>
      <c r="B249" s="11">
        <v>1.2688999999999999</v>
      </c>
      <c r="C249" s="11">
        <v>7.0940000000000003E-2</v>
      </c>
      <c r="D249" s="11">
        <v>7.0940000000000003E-2</v>
      </c>
      <c r="E249" s="11">
        <v>0.50063999999999997</v>
      </c>
      <c r="F249" s="11">
        <v>1.1680999999999999</v>
      </c>
      <c r="G249" s="11">
        <v>-4.3099999999999999E-2</v>
      </c>
      <c r="H249" s="11">
        <v>1.1382000000000001</v>
      </c>
      <c r="I249" s="11">
        <v>1.026</v>
      </c>
      <c r="J249" s="11">
        <v>0.50000999999999995</v>
      </c>
      <c r="K249" s="11">
        <v>20</v>
      </c>
      <c r="L249" s="11">
        <v>17708.3</v>
      </c>
      <c r="M249" s="11">
        <v>1.2254400000000001</v>
      </c>
      <c r="N249" s="23">
        <v>4517000</v>
      </c>
      <c r="O249" s="11">
        <v>9.4467999999999996</v>
      </c>
      <c r="P249" s="16">
        <v>-16.399899999999999</v>
      </c>
      <c r="Q249" s="18">
        <v>-7.0000000000000007E-2</v>
      </c>
      <c r="R249" s="18">
        <v>273.57600000000002</v>
      </c>
      <c r="S249" s="17">
        <v>1.086E-2</v>
      </c>
      <c r="T249" s="4">
        <v>-1.8849999999999999E-2</v>
      </c>
    </row>
    <row r="250" spans="1:20" ht="18" x14ac:dyDescent="0.3">
      <c r="A250" s="11">
        <v>-0.46899999999999997</v>
      </c>
      <c r="B250" s="11">
        <v>1.4196</v>
      </c>
      <c r="C250" s="11">
        <v>0.13580999999999999</v>
      </c>
      <c r="D250" s="11">
        <v>0.13580999999999999</v>
      </c>
      <c r="E250" s="11">
        <v>0.61314999999999997</v>
      </c>
      <c r="F250" s="11">
        <v>1.2875000000000001</v>
      </c>
      <c r="G250" s="11">
        <v>-2.52E-2</v>
      </c>
      <c r="H250" s="11">
        <v>1.1572</v>
      </c>
      <c r="I250" s="11">
        <v>1.026</v>
      </c>
      <c r="J250" s="11">
        <v>0.80005999999999999</v>
      </c>
      <c r="K250" s="11">
        <v>20</v>
      </c>
      <c r="L250" s="11">
        <v>45348.1</v>
      </c>
      <c r="M250" s="11">
        <v>1.2256899999999999</v>
      </c>
      <c r="N250" s="23">
        <v>7229000</v>
      </c>
      <c r="O250" s="11">
        <v>20.540500000000002</v>
      </c>
      <c r="P250" s="16">
        <v>-53.217599999999997</v>
      </c>
      <c r="Q250" s="18">
        <v>-7.0000000000000007E-2</v>
      </c>
      <c r="R250" s="18">
        <v>863.61199999999997</v>
      </c>
      <c r="S250" s="17">
        <v>9.2200000000000008E-3</v>
      </c>
      <c r="T250" s="4">
        <v>-2.3879999999999998E-2</v>
      </c>
    </row>
    <row r="251" spans="1:20" ht="18" x14ac:dyDescent="0.3">
      <c r="A251" s="11">
        <v>-0.42470000000000002</v>
      </c>
      <c r="B251" s="11">
        <v>1.4202999999999999</v>
      </c>
      <c r="C251" s="11">
        <v>0.37329000000000001</v>
      </c>
      <c r="D251" s="11">
        <v>0.37329000000000001</v>
      </c>
      <c r="E251" s="11">
        <v>0.83653</v>
      </c>
      <c r="F251" s="11">
        <v>1.2069000000000001</v>
      </c>
      <c r="G251" s="11">
        <v>-7.6200000000000004E-2</v>
      </c>
      <c r="H251" s="11">
        <v>1.1447000000000001</v>
      </c>
      <c r="I251" s="11">
        <v>1.026</v>
      </c>
      <c r="J251" s="11">
        <v>1.19977</v>
      </c>
      <c r="K251" s="11">
        <v>20</v>
      </c>
      <c r="L251" s="11">
        <v>102027</v>
      </c>
      <c r="M251" s="11">
        <v>1.2262900000000001</v>
      </c>
      <c r="N251" s="23">
        <v>10850000</v>
      </c>
      <c r="O251" s="11">
        <v>25.2348</v>
      </c>
      <c r="P251" s="16">
        <v>-103.919</v>
      </c>
      <c r="Q251" s="18">
        <v>-7.0000000000000007E-2</v>
      </c>
      <c r="R251" s="18">
        <v>1573.78</v>
      </c>
      <c r="S251" s="17">
        <v>5.0299999999999997E-3</v>
      </c>
      <c r="T251" s="4">
        <v>-2.0729999999999998E-2</v>
      </c>
    </row>
    <row r="252" spans="1:20" ht="18" x14ac:dyDescent="0.3">
      <c r="A252" s="11">
        <v>-0.2049</v>
      </c>
      <c r="B252" s="11">
        <v>1.3998999999999999</v>
      </c>
      <c r="C252" s="11">
        <v>0.30097000000000002</v>
      </c>
      <c r="D252" s="11">
        <v>0.30097000000000002</v>
      </c>
      <c r="E252" s="11">
        <v>0.76160000000000005</v>
      </c>
      <c r="F252" s="11">
        <v>1.2124999999999999</v>
      </c>
      <c r="G252" s="11">
        <v>-7.2900000000000006E-2</v>
      </c>
      <c r="H252" s="11">
        <v>1.0841000000000001</v>
      </c>
      <c r="I252" s="11">
        <v>1.026</v>
      </c>
      <c r="J252" s="11">
        <v>1.99997</v>
      </c>
      <c r="K252" s="11">
        <v>20</v>
      </c>
      <c r="L252" s="11">
        <v>283337</v>
      </c>
      <c r="M252" s="11">
        <v>1.2255400000000001</v>
      </c>
      <c r="N252" s="23">
        <v>18070000</v>
      </c>
      <c r="O252" s="11">
        <v>12.620100000000001</v>
      </c>
      <c r="P252" s="16">
        <v>-161.643</v>
      </c>
      <c r="Q252" s="18">
        <v>-7.0000000000000007E-2</v>
      </c>
      <c r="R252" s="18">
        <v>2233.0100000000002</v>
      </c>
      <c r="S252" s="17">
        <v>9.1E-4</v>
      </c>
      <c r="T252" s="4">
        <v>-1.1610000000000001E-2</v>
      </c>
    </row>
    <row r="253" spans="1:20" ht="18" x14ac:dyDescent="0.3">
      <c r="A253" s="11">
        <v>-0.1202</v>
      </c>
      <c r="B253" s="11">
        <v>1.1638999999999999</v>
      </c>
      <c r="C253" s="11">
        <v>0.24795</v>
      </c>
      <c r="D253" s="11">
        <v>0.24795</v>
      </c>
      <c r="E253" s="11">
        <v>0.63107999999999997</v>
      </c>
      <c r="F253" s="11">
        <v>1.0088999999999999</v>
      </c>
      <c r="G253" s="11">
        <v>-6.8400000000000002E-2</v>
      </c>
      <c r="H253" s="11">
        <v>1.0669999999999999</v>
      </c>
      <c r="I253" s="11">
        <v>1.026</v>
      </c>
      <c r="J253" s="11">
        <v>4</v>
      </c>
      <c r="K253" s="11">
        <v>20</v>
      </c>
      <c r="L253" s="11">
        <v>1133350</v>
      </c>
      <c r="M253" s="11">
        <v>1.2255100000000001</v>
      </c>
      <c r="N253" s="23">
        <v>36140000</v>
      </c>
      <c r="O253" s="11">
        <v>37.406100000000002</v>
      </c>
      <c r="P253" s="16">
        <v>-286.37299999999999</v>
      </c>
      <c r="Q253" s="18">
        <v>-7.0000000000000007E-2</v>
      </c>
      <c r="R253" s="18">
        <v>4127.6400000000003</v>
      </c>
      <c r="S253" s="17">
        <v>6.7000000000000002E-4</v>
      </c>
      <c r="T253" s="4">
        <v>-5.1399999999999996E-3</v>
      </c>
    </row>
    <row r="254" spans="1:20" s="10" customFormat="1" ht="18" x14ac:dyDescent="0.3">
      <c r="A254" s="11">
        <v>-9.8900000000000002E-2</v>
      </c>
      <c r="B254" s="11">
        <v>1.0495000000000001</v>
      </c>
      <c r="C254" s="11">
        <v>0.23268</v>
      </c>
      <c r="D254" s="11">
        <v>0.23268</v>
      </c>
      <c r="E254" s="11">
        <v>0.57762000000000002</v>
      </c>
      <c r="F254" s="11">
        <v>0.90669999999999995</v>
      </c>
      <c r="G254" s="11">
        <v>-6.4100000000000004E-2</v>
      </c>
      <c r="H254" s="11">
        <v>1.0633999999999999</v>
      </c>
      <c r="I254" s="11">
        <v>1.026</v>
      </c>
      <c r="J254" s="11">
        <v>6</v>
      </c>
      <c r="K254" s="11">
        <v>20</v>
      </c>
      <c r="L254" s="11">
        <v>2550210</v>
      </c>
      <c r="M254" s="11">
        <v>1.22559</v>
      </c>
      <c r="N254" s="23">
        <v>54210000</v>
      </c>
      <c r="O254" s="11">
        <v>56.340200000000003</v>
      </c>
      <c r="P254" s="16">
        <v>-402.78300000000002</v>
      </c>
      <c r="Q254" s="18">
        <v>-7.0000000000000007E-2</v>
      </c>
      <c r="R254" s="18">
        <v>5815.6</v>
      </c>
      <c r="S254" s="17">
        <v>4.4999999999999999E-4</v>
      </c>
      <c r="T254" s="4">
        <v>-3.2100000000000002E-3</v>
      </c>
    </row>
    <row r="255" spans="1:20" ht="18" x14ac:dyDescent="0.3">
      <c r="A255" s="11">
        <v>-8.5900000000000004E-2</v>
      </c>
      <c r="B255" s="11">
        <v>0.99650000000000005</v>
      </c>
      <c r="C255" s="11">
        <v>0.22442999999999999</v>
      </c>
      <c r="D255" s="11">
        <v>0.22442999999999999</v>
      </c>
      <c r="E255" s="11">
        <v>0.55173000000000005</v>
      </c>
      <c r="F255" s="11">
        <v>0.85970000000000002</v>
      </c>
      <c r="G255" s="11">
        <v>-6.08E-2</v>
      </c>
      <c r="H255" s="11">
        <v>1.0602</v>
      </c>
      <c r="I255" s="11">
        <v>1.026</v>
      </c>
      <c r="J255" s="11">
        <v>7.9999900000000004</v>
      </c>
      <c r="K255" s="11">
        <v>20</v>
      </c>
      <c r="L255" s="11">
        <v>4533860</v>
      </c>
      <c r="M255" s="11">
        <v>1.2256400000000001</v>
      </c>
      <c r="N255" s="23">
        <v>72280000</v>
      </c>
      <c r="O255" s="11">
        <v>78.554400000000001</v>
      </c>
      <c r="P255" s="16">
        <v>-556.74699999999996</v>
      </c>
      <c r="Q255" s="18">
        <v>-7.0000000000000007E-2</v>
      </c>
      <c r="R255" s="18">
        <v>7974.86</v>
      </c>
      <c r="S255" s="17">
        <v>3.5E-4</v>
      </c>
      <c r="T255" s="4">
        <v>-2.5000000000000001E-3</v>
      </c>
    </row>
    <row r="256" spans="1:20" ht="18" x14ac:dyDescent="0.3">
      <c r="A256" s="11">
        <v>-7.8299999999999995E-2</v>
      </c>
      <c r="B256" s="11">
        <v>0.96909999999999996</v>
      </c>
      <c r="C256" s="11">
        <v>0.21983</v>
      </c>
      <c r="D256" s="11">
        <v>0.21983</v>
      </c>
      <c r="E256" s="11">
        <v>0.53800999999999999</v>
      </c>
      <c r="F256" s="11">
        <v>0.83540000000000003</v>
      </c>
      <c r="G256" s="11">
        <v>-5.8700000000000002E-2</v>
      </c>
      <c r="H256" s="11">
        <v>1.0581</v>
      </c>
      <c r="I256" s="11">
        <v>1.026</v>
      </c>
      <c r="J256" s="11">
        <v>9.9999900000000004</v>
      </c>
      <c r="K256" s="11">
        <v>20</v>
      </c>
      <c r="L256" s="11">
        <v>7084350</v>
      </c>
      <c r="M256" s="11">
        <v>1.22567</v>
      </c>
      <c r="N256" s="23">
        <v>90360000</v>
      </c>
      <c r="O256" s="11">
        <v>100.041</v>
      </c>
      <c r="P256" s="16">
        <v>-755.59500000000003</v>
      </c>
      <c r="Q256" s="18">
        <v>-7.0000000000000007E-2</v>
      </c>
      <c r="R256" s="18">
        <v>10678.5</v>
      </c>
      <c r="S256" s="17">
        <v>2.9E-4</v>
      </c>
      <c r="T256" s="4">
        <v>-2.1700000000000001E-3</v>
      </c>
    </row>
    <row r="257" spans="1:20" ht="18" x14ac:dyDescent="0.3">
      <c r="P257" s="16"/>
    </row>
    <row r="258" spans="1:20" ht="18" x14ac:dyDescent="0.3">
      <c r="P258" s="16"/>
    </row>
    <row r="260" spans="1:20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19"/>
    </row>
    <row r="261" spans="1:20" ht="23.4" x14ac:dyDescent="0.3">
      <c r="A261" s="27" t="s">
        <v>24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</row>
    <row r="262" spans="1:20" ht="36" x14ac:dyDescent="0.3">
      <c r="A262" s="12" t="s">
        <v>31</v>
      </c>
      <c r="B262" s="12" t="s">
        <v>32</v>
      </c>
      <c r="C262" s="12" t="s">
        <v>33</v>
      </c>
      <c r="D262" s="12" t="s">
        <v>44</v>
      </c>
      <c r="E262" s="12" t="s">
        <v>34</v>
      </c>
      <c r="F262" s="12" t="s">
        <v>35</v>
      </c>
      <c r="G262" s="12" t="s">
        <v>36</v>
      </c>
      <c r="H262" s="12" t="s">
        <v>37</v>
      </c>
      <c r="I262" s="12" t="s">
        <v>38</v>
      </c>
      <c r="J262" s="12" t="s">
        <v>39</v>
      </c>
      <c r="K262" s="12" t="s">
        <v>40</v>
      </c>
      <c r="L262" s="12" t="s">
        <v>41</v>
      </c>
      <c r="M262" s="12" t="s">
        <v>42</v>
      </c>
      <c r="N262" s="12" t="s">
        <v>43</v>
      </c>
      <c r="O262" s="12" t="s">
        <v>45</v>
      </c>
      <c r="P262" s="16" t="s">
        <v>46</v>
      </c>
      <c r="Q262" s="16" t="s">
        <v>47</v>
      </c>
      <c r="R262" s="16" t="s">
        <v>48</v>
      </c>
      <c r="S262" s="16" t="s">
        <v>51</v>
      </c>
      <c r="T262" s="4" t="s">
        <v>52</v>
      </c>
    </row>
    <row r="263" spans="1:20" x14ac:dyDescent="0.3">
      <c r="A263" s="11">
        <v>2.3E-3</v>
      </c>
      <c r="B263" s="11">
        <v>-2.0000000000000001E-4</v>
      </c>
      <c r="C263" s="11">
        <v>0.20535999999999999</v>
      </c>
      <c r="D263" s="11">
        <v>0.20535999999999999</v>
      </c>
      <c r="E263" s="11">
        <v>0.20535999999999999</v>
      </c>
      <c r="F263" s="11">
        <v>-2.0000000000000001E-4</v>
      </c>
      <c r="G263" s="11">
        <v>-0.18099999999999999</v>
      </c>
      <c r="H263" s="11">
        <v>6.6482999999999999</v>
      </c>
      <c r="I263" s="13">
        <v>1.026</v>
      </c>
      <c r="J263" s="11">
        <v>0.3</v>
      </c>
      <c r="K263" s="11">
        <v>0</v>
      </c>
      <c r="L263" s="11">
        <v>6374.73</v>
      </c>
      <c r="M263" s="11">
        <v>1.22543</v>
      </c>
      <c r="N263" s="23">
        <v>2710000</v>
      </c>
      <c r="O263" s="11">
        <v>-1.7447999999999999</v>
      </c>
      <c r="P263" s="18">
        <v>3.7682000000000002</v>
      </c>
      <c r="Q263" s="18">
        <v>-7.0000000000000007E-2</v>
      </c>
      <c r="R263" s="18">
        <v>-55.0122</v>
      </c>
      <c r="S263" s="17">
        <v>-5.5700000000000003E-3</v>
      </c>
      <c r="T263" s="4">
        <v>1.2030000000000001E-2</v>
      </c>
    </row>
    <row r="264" spans="1:20" x14ac:dyDescent="0.3">
      <c r="A264" s="11">
        <v>4.0000000000000002E-4</v>
      </c>
      <c r="B264" s="11">
        <v>-2.0000000000000001E-4</v>
      </c>
      <c r="C264" s="11">
        <v>0.20967</v>
      </c>
      <c r="D264" s="11">
        <v>0.20967</v>
      </c>
      <c r="E264" s="11">
        <v>0.20967</v>
      </c>
      <c r="F264" s="11">
        <v>-2.0000000000000001E-4</v>
      </c>
      <c r="G264" s="11">
        <v>-0.1888</v>
      </c>
      <c r="H264" s="11">
        <v>1.8765000000000001</v>
      </c>
      <c r="I264" s="13">
        <v>1.026</v>
      </c>
      <c r="J264" s="11">
        <v>0.5</v>
      </c>
      <c r="K264" s="11">
        <v>0</v>
      </c>
      <c r="L264" s="11">
        <v>17707.7</v>
      </c>
      <c r="M264" s="11">
        <v>1.22543</v>
      </c>
      <c r="N264" s="23">
        <v>4517000</v>
      </c>
      <c r="O264" s="11">
        <v>-4.9756</v>
      </c>
      <c r="P264" s="18">
        <v>10.889900000000001</v>
      </c>
      <c r="Q264" s="18">
        <v>-7.0000000000000007E-2</v>
      </c>
      <c r="R264" s="18">
        <v>-159.386</v>
      </c>
      <c r="S264" s="17">
        <v>-5.7200000000000003E-3</v>
      </c>
      <c r="T264" s="4">
        <v>1.251E-2</v>
      </c>
    </row>
    <row r="265" spans="1:20" x14ac:dyDescent="0.3">
      <c r="A265" s="11">
        <v>2.0000000000000001E-4</v>
      </c>
      <c r="B265" s="11">
        <v>1E-4</v>
      </c>
      <c r="C265" s="11">
        <v>0.26524999999999999</v>
      </c>
      <c r="D265" s="11">
        <v>0.26524999999999999</v>
      </c>
      <c r="E265" s="11">
        <v>0.26524999999999999</v>
      </c>
      <c r="F265" s="11">
        <v>1E-4</v>
      </c>
      <c r="G265" s="11">
        <v>-0.22320000000000001</v>
      </c>
      <c r="H265" s="11">
        <v>0.25080000000000002</v>
      </c>
      <c r="I265" s="13">
        <v>1.026</v>
      </c>
      <c r="J265" s="11">
        <v>0.80001999999999995</v>
      </c>
      <c r="K265" s="11">
        <v>0</v>
      </c>
      <c r="L265" s="11">
        <v>45333.8</v>
      </c>
      <c r="M265" s="11">
        <v>1.2254499999999999</v>
      </c>
      <c r="N265" s="23">
        <v>7227000</v>
      </c>
      <c r="O265" s="11">
        <v>-12.3142</v>
      </c>
      <c r="P265" s="18">
        <v>32.872599999999998</v>
      </c>
      <c r="Q265" s="18">
        <v>-7.0000000000000007E-2</v>
      </c>
      <c r="R265" s="18">
        <v>-480.029</v>
      </c>
      <c r="S265" s="17">
        <v>-5.5300000000000002E-3</v>
      </c>
      <c r="T265" s="4">
        <v>1.4760000000000001E-2</v>
      </c>
    </row>
    <row r="266" spans="1:20" x14ac:dyDescent="0.3">
      <c r="A266" s="11">
        <v>2.9999999999999997E-4</v>
      </c>
      <c r="B266" s="11">
        <v>-2.0000000000000001E-4</v>
      </c>
      <c r="C266" s="11">
        <v>0.47538000000000002</v>
      </c>
      <c r="D266" s="11">
        <v>0.47538000000000002</v>
      </c>
      <c r="E266" s="11">
        <v>0.47538000000000002</v>
      </c>
      <c r="F266" s="11">
        <v>-2.0000000000000001E-4</v>
      </c>
      <c r="G266" s="11">
        <v>-0.2082</v>
      </c>
      <c r="H266" s="11">
        <v>1.5927</v>
      </c>
      <c r="I266" s="13">
        <v>1.026</v>
      </c>
      <c r="J266" s="11">
        <v>1.19964</v>
      </c>
      <c r="K266" s="11">
        <v>0</v>
      </c>
      <c r="L266" s="11">
        <v>102072</v>
      </c>
      <c r="M266" s="11">
        <v>1.22709</v>
      </c>
      <c r="N266" s="23">
        <v>10850000</v>
      </c>
      <c r="O266" s="11">
        <v>-16.613499999999998</v>
      </c>
      <c r="P266" s="18">
        <v>70.267200000000003</v>
      </c>
      <c r="Q266" s="18">
        <v>-7.0000000000000007E-2</v>
      </c>
      <c r="R266" s="18">
        <v>-997.33500000000004</v>
      </c>
      <c r="S266" s="17">
        <v>-3.31E-3</v>
      </c>
      <c r="T266" s="4">
        <v>1.401E-2</v>
      </c>
    </row>
    <row r="267" spans="1:20" x14ac:dyDescent="0.3">
      <c r="A267" s="11">
        <v>1E-4</v>
      </c>
      <c r="B267" s="11">
        <v>0</v>
      </c>
      <c r="C267" s="11">
        <v>0.34575</v>
      </c>
      <c r="D267" s="11">
        <v>0.34575</v>
      </c>
      <c r="E267" s="11">
        <v>0.34575</v>
      </c>
      <c r="F267" s="11">
        <v>0</v>
      </c>
      <c r="G267" s="11">
        <v>-0.1588</v>
      </c>
      <c r="H267" s="11">
        <v>-0.14979999999999999</v>
      </c>
      <c r="I267" s="13">
        <v>1.026</v>
      </c>
      <c r="J267" s="11">
        <v>1.99997</v>
      </c>
      <c r="K267" s="11">
        <v>0</v>
      </c>
      <c r="L267" s="11">
        <v>283347</v>
      </c>
      <c r="M267" s="11">
        <v>1.22559</v>
      </c>
      <c r="N267" s="23">
        <v>18070000</v>
      </c>
      <c r="O267" s="11">
        <v>-23.015599999999999</v>
      </c>
      <c r="P267" s="18">
        <v>146.18700000000001</v>
      </c>
      <c r="Q267" s="18">
        <v>-7.0000000000000007E-2</v>
      </c>
      <c r="R267" s="18">
        <v>-2123.13</v>
      </c>
      <c r="S267" s="17">
        <v>-1.65E-3</v>
      </c>
      <c r="T267" s="4">
        <v>1.0500000000000001E-2</v>
      </c>
    </row>
    <row r="268" spans="1:20" x14ac:dyDescent="0.3">
      <c r="A268" s="11">
        <v>0</v>
      </c>
      <c r="B268" s="11">
        <v>0</v>
      </c>
      <c r="C268" s="11">
        <v>0.19989999999999999</v>
      </c>
      <c r="D268" s="11">
        <v>0.19989999999999999</v>
      </c>
      <c r="E268" s="11">
        <v>0.19989999999999999</v>
      </c>
      <c r="F268" s="11">
        <v>0</v>
      </c>
      <c r="G268" s="11">
        <v>-0.1007</v>
      </c>
      <c r="H268" s="11">
        <v>1</v>
      </c>
      <c r="I268" s="13">
        <v>1.026</v>
      </c>
      <c r="J268" s="11">
        <v>4</v>
      </c>
      <c r="K268" s="11">
        <v>0</v>
      </c>
      <c r="L268" s="11">
        <v>1133280</v>
      </c>
      <c r="M268" s="11">
        <v>1.2254400000000001</v>
      </c>
      <c r="N268" s="23">
        <v>36140000</v>
      </c>
      <c r="O268" s="11">
        <v>-55.786200000000001</v>
      </c>
      <c r="P268" s="18">
        <v>373.53399999999999</v>
      </c>
      <c r="Q268" s="18">
        <v>-7.0000000000000007E-2</v>
      </c>
      <c r="R268" s="18">
        <v>-5369.4</v>
      </c>
      <c r="S268" s="17">
        <v>-1E-3</v>
      </c>
      <c r="T268" s="4">
        <v>6.7099999999999998E-3</v>
      </c>
    </row>
    <row r="269" spans="1:20" x14ac:dyDescent="0.3">
      <c r="A269" s="11">
        <v>1E-4</v>
      </c>
      <c r="B269" s="11">
        <v>-1E-4</v>
      </c>
      <c r="C269" s="11">
        <v>0.16866999999999999</v>
      </c>
      <c r="D269" s="11">
        <v>0.16866999999999999</v>
      </c>
      <c r="E269" s="11">
        <v>0.16866999999999999</v>
      </c>
      <c r="F269" s="11">
        <v>-1E-4</v>
      </c>
      <c r="G269" s="11">
        <v>-8.8300000000000003E-2</v>
      </c>
      <c r="H269" s="11">
        <v>1.2950999999999999</v>
      </c>
      <c r="I269" s="13">
        <v>1.026</v>
      </c>
      <c r="J269" s="11">
        <v>6</v>
      </c>
      <c r="K269" s="11">
        <v>0</v>
      </c>
      <c r="L269" s="11">
        <v>2549870</v>
      </c>
      <c r="M269" s="11">
        <v>1.22543</v>
      </c>
      <c r="N269" s="23">
        <v>54200000</v>
      </c>
      <c r="O269" s="11">
        <v>-124.901</v>
      </c>
      <c r="P269" s="18">
        <v>750.73599999999999</v>
      </c>
      <c r="Q269" s="18">
        <v>-7.0000000000000007E-2</v>
      </c>
      <c r="R269" s="18">
        <v>-10531.3</v>
      </c>
      <c r="S269" s="17">
        <v>-1E-3</v>
      </c>
      <c r="T269" s="4">
        <v>5.9899999999999997E-3</v>
      </c>
    </row>
    <row r="270" spans="1:20" x14ac:dyDescent="0.3">
      <c r="A270" s="11">
        <v>2.0000000000000001E-4</v>
      </c>
      <c r="B270" s="11">
        <v>-1E-4</v>
      </c>
      <c r="C270" s="11">
        <v>0.15525</v>
      </c>
      <c r="D270" s="11">
        <v>0.15525</v>
      </c>
      <c r="E270" s="11">
        <v>0.15525</v>
      </c>
      <c r="F270" s="11">
        <v>-1E-4</v>
      </c>
      <c r="G270" s="11">
        <v>-8.4000000000000005E-2</v>
      </c>
      <c r="H270" s="11">
        <v>1.5096000000000001</v>
      </c>
      <c r="I270" s="13">
        <v>1.026</v>
      </c>
      <c r="J270" s="11">
        <v>8</v>
      </c>
      <c r="K270" s="11">
        <v>0</v>
      </c>
      <c r="L270" s="11">
        <v>4533110</v>
      </c>
      <c r="M270" s="11">
        <v>1.22543</v>
      </c>
      <c r="N270" s="23">
        <v>72270000</v>
      </c>
      <c r="O270" s="11">
        <v>-230.01300000000001</v>
      </c>
      <c r="P270" s="18">
        <v>1282.1600000000001</v>
      </c>
      <c r="Q270" s="18">
        <v>-7.0000000000000007E-2</v>
      </c>
      <c r="R270" s="18">
        <v>-17750.400000000001</v>
      </c>
      <c r="S270" s="17">
        <v>-1.0300000000000001E-3</v>
      </c>
      <c r="T270" s="4">
        <v>5.7600000000000004E-3</v>
      </c>
    </row>
    <row r="271" spans="1:20" x14ac:dyDescent="0.3">
      <c r="A271" s="11">
        <v>-2.0000000000000001E-4</v>
      </c>
      <c r="B271" s="11">
        <v>1E-4</v>
      </c>
      <c r="C271" s="11">
        <v>0.14763000000000001</v>
      </c>
      <c r="D271" s="11">
        <v>0.14763000000000001</v>
      </c>
      <c r="E271" s="11">
        <v>0.14763000000000001</v>
      </c>
      <c r="F271" s="11">
        <v>1E-4</v>
      </c>
      <c r="G271" s="11">
        <v>-8.1000000000000003E-2</v>
      </c>
      <c r="H271" s="11">
        <v>1.5349999999999999</v>
      </c>
      <c r="I271" s="11">
        <v>1.026</v>
      </c>
      <c r="J271" s="11">
        <v>10</v>
      </c>
      <c r="K271" s="11">
        <v>0</v>
      </c>
      <c r="L271" s="11">
        <v>7082980</v>
      </c>
      <c r="M271" s="11">
        <v>1.22543</v>
      </c>
      <c r="N271" s="23">
        <v>90340000</v>
      </c>
      <c r="O271" s="11">
        <v>-367.91300000000001</v>
      </c>
      <c r="P271" s="18">
        <v>1942.53</v>
      </c>
      <c r="Q271" s="18">
        <v>-7.0000000000000007E-2</v>
      </c>
      <c r="R271" s="18">
        <v>-26655.599999999999</v>
      </c>
      <c r="S271" s="17">
        <v>-1.06E-3</v>
      </c>
      <c r="T271" s="4">
        <v>5.5799999999999999E-3</v>
      </c>
    </row>
    <row r="275" spans="1:20" ht="36" x14ac:dyDescent="0.3">
      <c r="A275" s="12" t="s">
        <v>31</v>
      </c>
      <c r="B275" s="12" t="s">
        <v>32</v>
      </c>
      <c r="C275" s="12" t="s">
        <v>33</v>
      </c>
      <c r="D275" s="12" t="s">
        <v>44</v>
      </c>
      <c r="E275" s="12" t="s">
        <v>34</v>
      </c>
      <c r="F275" s="12" t="s">
        <v>35</v>
      </c>
      <c r="G275" s="12" t="s">
        <v>36</v>
      </c>
      <c r="H275" s="12" t="s">
        <v>37</v>
      </c>
      <c r="I275" s="12" t="s">
        <v>38</v>
      </c>
      <c r="J275" s="12" t="s">
        <v>39</v>
      </c>
      <c r="K275" s="12" t="s">
        <v>40</v>
      </c>
      <c r="L275" s="12" t="s">
        <v>41</v>
      </c>
      <c r="M275" s="12" t="s">
        <v>42</v>
      </c>
      <c r="N275" s="12" t="s">
        <v>43</v>
      </c>
      <c r="O275" s="12" t="s">
        <v>45</v>
      </c>
      <c r="P275" s="16" t="s">
        <v>46</v>
      </c>
      <c r="Q275" s="16" t="s">
        <v>47</v>
      </c>
      <c r="R275" s="16" t="s">
        <v>48</v>
      </c>
      <c r="S275" s="16" t="s">
        <v>51</v>
      </c>
      <c r="T275" s="4" t="s">
        <v>52</v>
      </c>
    </row>
    <row r="276" spans="1:20" x14ac:dyDescent="0.3">
      <c r="A276" s="11">
        <v>-3.5000000000000003E-2</v>
      </c>
      <c r="B276" s="11">
        <v>0.13300000000000001</v>
      </c>
      <c r="C276" s="11">
        <v>0.21174999999999999</v>
      </c>
      <c r="D276" s="11">
        <v>0.21174999999999999</v>
      </c>
      <c r="E276" s="11">
        <v>0.21626999999999999</v>
      </c>
      <c r="F276" s="11">
        <v>0.12559999999999999</v>
      </c>
      <c r="G276" s="11">
        <v>-0.18099999999999999</v>
      </c>
      <c r="H276" s="11">
        <v>1.1303000000000001</v>
      </c>
      <c r="I276" s="11">
        <v>1.026</v>
      </c>
      <c r="J276" s="11">
        <v>0.3</v>
      </c>
      <c r="K276" s="11">
        <v>2</v>
      </c>
      <c r="L276" s="11">
        <v>6374.73</v>
      </c>
      <c r="M276" s="11">
        <v>1.22543</v>
      </c>
      <c r="N276" s="23">
        <v>2710000</v>
      </c>
      <c r="O276" s="11">
        <v>-1.3090999999999999</v>
      </c>
      <c r="P276" s="18">
        <v>2.8921999999999999</v>
      </c>
      <c r="Q276" s="18">
        <v>-7.0000000000000007E-2</v>
      </c>
      <c r="R276" s="18">
        <v>-41.736199999999997</v>
      </c>
      <c r="S276" s="17">
        <v>-4.1799999999999997E-3</v>
      </c>
      <c r="T276" s="4">
        <v>9.2300000000000004E-3</v>
      </c>
    </row>
    <row r="277" spans="1:20" x14ac:dyDescent="0.3">
      <c r="A277" s="11">
        <v>-4.1000000000000002E-2</v>
      </c>
      <c r="B277" s="11">
        <v>0.1381</v>
      </c>
      <c r="C277" s="11">
        <v>0.21387999999999999</v>
      </c>
      <c r="D277" s="11">
        <v>0.21387999999999999</v>
      </c>
      <c r="E277" s="11">
        <v>0.21856999999999999</v>
      </c>
      <c r="F277" s="11">
        <v>0.13059999999999999</v>
      </c>
      <c r="G277" s="11">
        <v>-0.18870000000000001</v>
      </c>
      <c r="H277" s="11">
        <v>1.1438999999999999</v>
      </c>
      <c r="I277" s="11">
        <v>1.026</v>
      </c>
      <c r="J277" s="11">
        <v>0.5</v>
      </c>
      <c r="K277" s="11">
        <v>2</v>
      </c>
      <c r="L277" s="11">
        <v>17707.7</v>
      </c>
      <c r="M277" s="11">
        <v>1.22543</v>
      </c>
      <c r="N277" s="23">
        <v>4517000</v>
      </c>
      <c r="O277" s="11">
        <v>-3.7054999999999998</v>
      </c>
      <c r="P277" s="18">
        <v>8.3493999999999993</v>
      </c>
      <c r="Q277" s="18">
        <v>-7.0000000000000007E-2</v>
      </c>
      <c r="R277" s="18">
        <v>-120.587</v>
      </c>
      <c r="S277" s="17">
        <v>-4.2599999999999999E-3</v>
      </c>
      <c r="T277" s="4">
        <v>9.5899999999999996E-3</v>
      </c>
    </row>
    <row r="278" spans="1:20" x14ac:dyDescent="0.3">
      <c r="A278" s="11">
        <v>-7.0599999999999996E-2</v>
      </c>
      <c r="B278" s="11">
        <v>0.1641</v>
      </c>
      <c r="C278" s="11">
        <v>0.26521</v>
      </c>
      <c r="D278" s="11">
        <v>0.26521</v>
      </c>
      <c r="E278" s="11">
        <v>0.27077000000000001</v>
      </c>
      <c r="F278" s="11">
        <v>0.1547</v>
      </c>
      <c r="G278" s="11">
        <v>-0.22389999999999999</v>
      </c>
      <c r="H278" s="11">
        <v>1.1969000000000001</v>
      </c>
      <c r="I278" s="11">
        <v>1.026</v>
      </c>
      <c r="J278" s="11">
        <v>0.80001999999999995</v>
      </c>
      <c r="K278" s="11">
        <v>2</v>
      </c>
      <c r="L278" s="11">
        <v>45333.9</v>
      </c>
      <c r="M278" s="11">
        <v>1.2254499999999999</v>
      </c>
      <c r="N278" s="23">
        <v>7227000</v>
      </c>
      <c r="O278" s="11">
        <v>-8.8805999999999994</v>
      </c>
      <c r="P278" s="18">
        <v>24.8598</v>
      </c>
      <c r="Q278" s="18">
        <v>-7.0000000000000007E-2</v>
      </c>
      <c r="R278" s="18">
        <v>-357.54300000000001</v>
      </c>
      <c r="S278" s="17">
        <v>-3.9899999999999996E-3</v>
      </c>
      <c r="T278" s="4">
        <v>1.116E-2</v>
      </c>
    </row>
    <row r="279" spans="1:20" x14ac:dyDescent="0.3">
      <c r="A279" s="11">
        <v>-6.5299999999999997E-2</v>
      </c>
      <c r="B279" s="11">
        <v>0.15090000000000001</v>
      </c>
      <c r="C279" s="11">
        <v>0.47537000000000001</v>
      </c>
      <c r="D279" s="11">
        <v>0.47537000000000001</v>
      </c>
      <c r="E279" s="11">
        <v>0.48035</v>
      </c>
      <c r="F279" s="11">
        <v>0.13420000000000001</v>
      </c>
      <c r="G279" s="11">
        <v>-0.2079</v>
      </c>
      <c r="H279" s="11">
        <v>1.1978</v>
      </c>
      <c r="I279" s="11">
        <v>1.026</v>
      </c>
      <c r="J279" s="11">
        <v>1.19964</v>
      </c>
      <c r="K279" s="11">
        <v>2</v>
      </c>
      <c r="L279" s="11">
        <v>102071</v>
      </c>
      <c r="M279" s="11">
        <v>1.2270799999999999</v>
      </c>
      <c r="N279" s="23">
        <v>10850000</v>
      </c>
      <c r="O279" s="11">
        <v>-12.1875</v>
      </c>
      <c r="P279" s="18">
        <v>50.501100000000001</v>
      </c>
      <c r="Q279" s="18">
        <v>-7.0000000000000007E-2</v>
      </c>
      <c r="R279" s="18">
        <v>-711.55899999999997</v>
      </c>
      <c r="S279" s="17">
        <v>-2.4299999999999999E-3</v>
      </c>
      <c r="T279" s="4">
        <v>1.0070000000000001E-2</v>
      </c>
    </row>
    <row r="280" spans="1:20" x14ac:dyDescent="0.3">
      <c r="A280" s="11">
        <v>-2.9899999999999999E-2</v>
      </c>
      <c r="B280" s="11">
        <v>0.113</v>
      </c>
      <c r="C280" s="11">
        <v>0.34560000000000002</v>
      </c>
      <c r="D280" s="11">
        <v>0.34560000000000002</v>
      </c>
      <c r="E280" s="11">
        <v>0.34933999999999998</v>
      </c>
      <c r="F280" s="11">
        <v>0.1008</v>
      </c>
      <c r="G280" s="11">
        <v>-0.15870000000000001</v>
      </c>
      <c r="H280" s="11">
        <v>1.1309</v>
      </c>
      <c r="I280" s="11">
        <v>1.026</v>
      </c>
      <c r="J280" s="11">
        <v>1.99997</v>
      </c>
      <c r="K280" s="11">
        <v>2</v>
      </c>
      <c r="L280" s="11">
        <v>283347</v>
      </c>
      <c r="M280" s="11">
        <v>1.22559</v>
      </c>
      <c r="N280" s="23">
        <v>18070000</v>
      </c>
      <c r="O280" s="11">
        <v>-16.103000000000002</v>
      </c>
      <c r="P280" s="18">
        <v>114.199</v>
      </c>
      <c r="Q280" s="18">
        <v>-7.0000000000000007E-2</v>
      </c>
      <c r="R280" s="18">
        <v>-1603.91</v>
      </c>
      <c r="S280" s="17">
        <v>-1.16E-3</v>
      </c>
      <c r="T280" s="4">
        <v>8.2000000000000007E-3</v>
      </c>
    </row>
    <row r="281" spans="1:20" x14ac:dyDescent="0.3">
      <c r="A281" s="11">
        <v>-1.8599999999999998E-2</v>
      </c>
      <c r="B281" s="11">
        <v>9.4399999999999998E-2</v>
      </c>
      <c r="C281" s="11">
        <v>0.20130999999999999</v>
      </c>
      <c r="D281" s="11">
        <v>0.20130999999999999</v>
      </c>
      <c r="E281" s="11">
        <v>0.20448</v>
      </c>
      <c r="F281" s="11">
        <v>8.7400000000000005E-2</v>
      </c>
      <c r="G281" s="11">
        <v>-0.1017</v>
      </c>
      <c r="H281" s="11">
        <v>1.1040000000000001</v>
      </c>
      <c r="I281" s="11">
        <v>1.026</v>
      </c>
      <c r="J281" s="11">
        <v>4</v>
      </c>
      <c r="K281" s="11">
        <v>2</v>
      </c>
      <c r="L281" s="11">
        <v>1133280</v>
      </c>
      <c r="M281" s="11">
        <v>1.2254400000000001</v>
      </c>
      <c r="N281" s="23">
        <v>36140000</v>
      </c>
      <c r="O281" s="11">
        <v>-35.790300000000002</v>
      </c>
      <c r="P281" s="18">
        <v>284.37400000000002</v>
      </c>
      <c r="Q281" s="18">
        <v>-7.0000000000000007E-2</v>
      </c>
      <c r="R281" s="18">
        <v>-3908.73</v>
      </c>
      <c r="S281" s="17">
        <v>-6.4000000000000005E-4</v>
      </c>
      <c r="T281" s="4">
        <v>5.11E-3</v>
      </c>
    </row>
    <row r="282" spans="1:20" x14ac:dyDescent="0.3">
      <c r="A282" s="11">
        <v>-2.1999999999999999E-2</v>
      </c>
      <c r="B282" s="11">
        <v>8.9099999999999999E-2</v>
      </c>
      <c r="C282" s="11">
        <v>0.17165</v>
      </c>
      <c r="D282" s="11">
        <v>0.17165</v>
      </c>
      <c r="E282" s="11">
        <v>0.17465</v>
      </c>
      <c r="F282" s="11">
        <v>8.3099999999999993E-2</v>
      </c>
      <c r="G282" s="11">
        <v>-8.9399999999999993E-2</v>
      </c>
      <c r="H282" s="11">
        <v>1.1241000000000001</v>
      </c>
      <c r="I282" s="11">
        <v>1.026</v>
      </c>
      <c r="J282" s="11">
        <v>6</v>
      </c>
      <c r="K282" s="11">
        <v>2</v>
      </c>
      <c r="L282" s="11">
        <v>2549880</v>
      </c>
      <c r="M282" s="11">
        <v>1.22543</v>
      </c>
      <c r="N282" s="23">
        <v>54200000</v>
      </c>
      <c r="O282" s="11">
        <v>-74.225800000000007</v>
      </c>
      <c r="P282" s="18">
        <v>561.83900000000006</v>
      </c>
      <c r="Q282" s="18">
        <v>-7.0000000000000007E-2</v>
      </c>
      <c r="R282" s="18">
        <v>-7395.12</v>
      </c>
      <c r="S282" s="17">
        <v>-5.9000000000000003E-4</v>
      </c>
      <c r="T282" s="4">
        <v>4.4799999999999996E-3</v>
      </c>
    </row>
    <row r="283" spans="1:20" x14ac:dyDescent="0.3">
      <c r="A283" s="11">
        <v>-2.5100000000000001E-2</v>
      </c>
      <c r="B283" s="11">
        <v>8.5000000000000006E-2</v>
      </c>
      <c r="C283" s="11">
        <v>0.15759000000000001</v>
      </c>
      <c r="D283" s="11">
        <v>0.15759000000000001</v>
      </c>
      <c r="E283" s="11">
        <v>0.16045999999999999</v>
      </c>
      <c r="F283" s="11">
        <v>7.9500000000000001E-2</v>
      </c>
      <c r="G283" s="11">
        <v>-8.4500000000000006E-2</v>
      </c>
      <c r="H283" s="11">
        <v>1.1434</v>
      </c>
      <c r="I283" s="11">
        <v>1.026</v>
      </c>
      <c r="J283" s="11">
        <v>8</v>
      </c>
      <c r="K283" s="11">
        <v>2</v>
      </c>
      <c r="L283" s="11">
        <v>4533110</v>
      </c>
      <c r="M283" s="11">
        <v>1.22543</v>
      </c>
      <c r="N283" s="23">
        <v>72270000</v>
      </c>
      <c r="O283" s="11">
        <v>-109.54900000000001</v>
      </c>
      <c r="P283" s="18">
        <v>984.14700000000005</v>
      </c>
      <c r="Q283" s="18">
        <v>-7.0000000000000007E-2</v>
      </c>
      <c r="R283" s="18">
        <v>-12274.2</v>
      </c>
      <c r="S283" s="17">
        <v>-4.8999999999999998E-4</v>
      </c>
      <c r="T283" s="4">
        <v>4.4200000000000003E-3</v>
      </c>
    </row>
    <row r="284" spans="1:20" x14ac:dyDescent="0.3">
      <c r="A284" s="11">
        <v>-2.18E-2</v>
      </c>
      <c r="B284" s="11">
        <v>7.9200000000000007E-2</v>
      </c>
      <c r="C284" s="11">
        <v>0.15003</v>
      </c>
      <c r="D284" s="11">
        <v>0.15003</v>
      </c>
      <c r="E284" s="11">
        <v>0.1527</v>
      </c>
      <c r="F284" s="11">
        <v>7.3899999999999993E-2</v>
      </c>
      <c r="G284" s="11">
        <v>-8.1299999999999997E-2</v>
      </c>
      <c r="H284" s="11">
        <v>1.1353</v>
      </c>
      <c r="I284" s="11">
        <v>1.026</v>
      </c>
      <c r="J284" s="11">
        <v>10</v>
      </c>
      <c r="K284" s="11">
        <v>2</v>
      </c>
      <c r="L284" s="11">
        <v>7082980</v>
      </c>
      <c r="M284" s="11">
        <v>1.22543</v>
      </c>
      <c r="N284" s="23">
        <v>90340000</v>
      </c>
      <c r="O284" s="11">
        <v>-152.208</v>
      </c>
      <c r="P284" s="18">
        <v>1538.06</v>
      </c>
      <c r="Q284" s="18">
        <v>-7.0000000000000007E-2</v>
      </c>
      <c r="R284" s="18">
        <v>-18688.2</v>
      </c>
      <c r="S284" s="17">
        <v>-4.4000000000000002E-4</v>
      </c>
      <c r="T284" s="4">
        <v>4.4200000000000003E-3</v>
      </c>
    </row>
    <row r="288" spans="1:20" ht="36" x14ac:dyDescent="0.3">
      <c r="A288" s="12" t="s">
        <v>31</v>
      </c>
      <c r="B288" s="12" t="s">
        <v>32</v>
      </c>
      <c r="C288" s="12" t="s">
        <v>33</v>
      </c>
      <c r="D288" s="12" t="s">
        <v>44</v>
      </c>
      <c r="E288" s="12" t="s">
        <v>34</v>
      </c>
      <c r="F288" s="12" t="s">
        <v>35</v>
      </c>
      <c r="G288" s="12" t="s">
        <v>36</v>
      </c>
      <c r="H288" s="12" t="s">
        <v>37</v>
      </c>
      <c r="I288" s="12" t="s">
        <v>38</v>
      </c>
      <c r="J288" s="12" t="s">
        <v>39</v>
      </c>
      <c r="K288" s="12" t="s">
        <v>40</v>
      </c>
      <c r="L288" s="12" t="s">
        <v>41</v>
      </c>
      <c r="M288" s="12" t="s">
        <v>42</v>
      </c>
      <c r="N288" s="12" t="s">
        <v>43</v>
      </c>
      <c r="O288" s="12" t="s">
        <v>45</v>
      </c>
      <c r="P288" s="16" t="s">
        <v>46</v>
      </c>
      <c r="Q288" s="16" t="s">
        <v>47</v>
      </c>
      <c r="R288" s="16" t="s">
        <v>48</v>
      </c>
      <c r="S288" s="16" t="s">
        <v>51</v>
      </c>
      <c r="T288" s="4" t="s">
        <v>52</v>
      </c>
    </row>
    <row r="289" spans="1:20" x14ac:dyDescent="0.3">
      <c r="A289" s="11">
        <v>-7.3899999999999993E-2</v>
      </c>
      <c r="B289" s="11">
        <v>0.26500000000000001</v>
      </c>
      <c r="C289" s="11">
        <v>0.21199000000000001</v>
      </c>
      <c r="D289" s="11">
        <v>0.21199000000000001</v>
      </c>
      <c r="E289" s="11">
        <v>0.22996</v>
      </c>
      <c r="F289" s="11">
        <v>0.2495</v>
      </c>
      <c r="G289" s="11">
        <v>-0.18090000000000001</v>
      </c>
      <c r="H289" s="13">
        <v>1.1368</v>
      </c>
      <c r="I289" s="11">
        <v>1.026</v>
      </c>
      <c r="J289" s="11">
        <v>0.3</v>
      </c>
      <c r="K289" s="11">
        <v>4</v>
      </c>
      <c r="L289" s="11">
        <v>6374.73</v>
      </c>
      <c r="M289" s="11">
        <v>1.22543</v>
      </c>
      <c r="N289" s="23">
        <v>2710000</v>
      </c>
      <c r="O289" s="11">
        <v>-0.877</v>
      </c>
      <c r="P289" s="18">
        <v>2.0384000000000002</v>
      </c>
      <c r="Q289" s="18">
        <v>-7.0000000000000007E-2</v>
      </c>
      <c r="R289" s="18">
        <v>-28.800699999999999</v>
      </c>
      <c r="S289" s="17">
        <v>-2.8E-3</v>
      </c>
      <c r="T289" s="4">
        <v>6.5100000000000002E-3</v>
      </c>
    </row>
    <row r="290" spans="1:20" x14ac:dyDescent="0.3">
      <c r="A290" s="11">
        <v>-8.4199999999999997E-2</v>
      </c>
      <c r="B290" s="11">
        <v>0.2752</v>
      </c>
      <c r="C290" s="11">
        <v>0.21454000000000001</v>
      </c>
      <c r="D290" s="11">
        <v>0.21454000000000001</v>
      </c>
      <c r="E290" s="11">
        <v>0.23321</v>
      </c>
      <c r="F290" s="11">
        <v>0.25950000000000001</v>
      </c>
      <c r="G290" s="11">
        <v>-0.18840000000000001</v>
      </c>
      <c r="H290" s="13">
        <v>1.1474</v>
      </c>
      <c r="I290" s="11">
        <v>1.026</v>
      </c>
      <c r="J290" s="11">
        <v>0.5</v>
      </c>
      <c r="K290" s="11">
        <v>4</v>
      </c>
      <c r="L290" s="11">
        <v>17707.7</v>
      </c>
      <c r="M290" s="11">
        <v>1.22543</v>
      </c>
      <c r="N290" s="23">
        <v>4517000</v>
      </c>
      <c r="O290" s="11">
        <v>-2.4594</v>
      </c>
      <c r="P290" s="18">
        <v>5.8612000000000002</v>
      </c>
      <c r="Q290" s="18">
        <v>-7.0000000000000007E-2</v>
      </c>
      <c r="R290" s="18">
        <v>-82.784199999999998</v>
      </c>
      <c r="S290" s="17">
        <v>-2.8300000000000001E-3</v>
      </c>
      <c r="T290" s="4">
        <v>6.7400000000000003E-3</v>
      </c>
    </row>
    <row r="291" spans="1:20" x14ac:dyDescent="0.3">
      <c r="A291" s="11">
        <v>-0.13669999999999999</v>
      </c>
      <c r="B291" s="11">
        <v>0.32269999999999999</v>
      </c>
      <c r="C291" s="11">
        <v>0.26483000000000001</v>
      </c>
      <c r="D291" s="11">
        <v>0.26483000000000001</v>
      </c>
      <c r="E291" s="11">
        <v>0.28670000000000001</v>
      </c>
      <c r="F291" s="11">
        <v>0.3034</v>
      </c>
      <c r="G291" s="11">
        <v>-0.2233</v>
      </c>
      <c r="H291" s="13">
        <v>1.1941999999999999</v>
      </c>
      <c r="I291" s="11">
        <v>1.026</v>
      </c>
      <c r="J291" s="11">
        <v>0.80001999999999995</v>
      </c>
      <c r="K291" s="11">
        <v>4</v>
      </c>
      <c r="L291" s="11">
        <v>45334.2</v>
      </c>
      <c r="M291" s="11">
        <v>1.22546</v>
      </c>
      <c r="N291" s="23">
        <v>7227000</v>
      </c>
      <c r="O291" s="11">
        <v>-5.6349</v>
      </c>
      <c r="P291" s="18">
        <v>17.125800000000002</v>
      </c>
      <c r="Q291" s="18">
        <v>-7.0000000000000007E-2</v>
      </c>
      <c r="R291" s="18">
        <v>-240.131</v>
      </c>
      <c r="S291" s="17">
        <v>-2.5300000000000001E-3</v>
      </c>
      <c r="T291" s="4">
        <v>7.6899999999999998E-3</v>
      </c>
    </row>
    <row r="292" spans="1:20" x14ac:dyDescent="0.3">
      <c r="A292" s="11">
        <v>-0.12659999999999999</v>
      </c>
      <c r="B292" s="11">
        <v>0.29809999999999998</v>
      </c>
      <c r="C292" s="11">
        <v>0.47442000000000001</v>
      </c>
      <c r="D292" s="11">
        <v>0.47442000000000001</v>
      </c>
      <c r="E292" s="11">
        <v>0.49406</v>
      </c>
      <c r="F292" s="11">
        <v>0.26429999999999998</v>
      </c>
      <c r="G292" s="11">
        <v>-0.20730000000000001</v>
      </c>
      <c r="H292" s="13">
        <v>1.1946000000000001</v>
      </c>
      <c r="I292" s="11">
        <v>1.026</v>
      </c>
      <c r="J292" s="11">
        <v>1.1997199999999999</v>
      </c>
      <c r="K292" s="11">
        <v>4</v>
      </c>
      <c r="L292" s="11">
        <v>102053</v>
      </c>
      <c r="M292" s="11">
        <v>1.22671</v>
      </c>
      <c r="N292" s="23">
        <v>10850000</v>
      </c>
      <c r="O292" s="11">
        <v>-7.2385999999999999</v>
      </c>
      <c r="P292" s="18">
        <v>32.738399999999999</v>
      </c>
      <c r="Q292" s="18">
        <v>-7.0000000000000007E-2</v>
      </c>
      <c r="R292" s="18">
        <v>-450.34100000000001</v>
      </c>
      <c r="S292" s="17">
        <v>-1.4400000000000001E-3</v>
      </c>
      <c r="T292" s="4">
        <v>6.5300000000000002E-3</v>
      </c>
    </row>
    <row r="293" spans="1:20" x14ac:dyDescent="0.3">
      <c r="A293" s="11">
        <v>-5.9400000000000001E-2</v>
      </c>
      <c r="B293" s="11">
        <v>0.2263</v>
      </c>
      <c r="C293" s="11">
        <v>0.34545999999999999</v>
      </c>
      <c r="D293" s="11">
        <v>0.34545999999999999</v>
      </c>
      <c r="E293" s="11">
        <v>0.3604</v>
      </c>
      <c r="F293" s="11">
        <v>0.2016</v>
      </c>
      <c r="G293" s="11">
        <v>-0.15840000000000001</v>
      </c>
      <c r="H293" s="13">
        <v>1.1301000000000001</v>
      </c>
      <c r="I293" s="11">
        <v>1.026</v>
      </c>
      <c r="J293" s="11">
        <v>1.99997</v>
      </c>
      <c r="K293" s="11">
        <v>4</v>
      </c>
      <c r="L293" s="11">
        <v>283346</v>
      </c>
      <c r="M293" s="11">
        <v>1.22559</v>
      </c>
      <c r="N293" s="23">
        <v>18070000</v>
      </c>
      <c r="O293" s="11">
        <v>-9.7083999999999993</v>
      </c>
      <c r="P293" s="18">
        <v>82.557900000000004</v>
      </c>
      <c r="Q293" s="18">
        <v>-7.0000000000000007E-2</v>
      </c>
      <c r="R293" s="18">
        <v>-1107.8</v>
      </c>
      <c r="S293" s="17">
        <v>-6.9999999999999999E-4</v>
      </c>
      <c r="T293" s="4">
        <v>5.9300000000000004E-3</v>
      </c>
    </row>
    <row r="294" spans="1:20" x14ac:dyDescent="0.3">
      <c r="A294" s="11">
        <v>-3.5200000000000002E-2</v>
      </c>
      <c r="B294" s="11">
        <v>0.19</v>
      </c>
      <c r="C294" s="11">
        <v>0.20613999999999999</v>
      </c>
      <c r="D294" s="11">
        <v>0.20613999999999999</v>
      </c>
      <c r="E294" s="11">
        <v>0.21889</v>
      </c>
      <c r="F294" s="11">
        <v>0.17519999999999999</v>
      </c>
      <c r="G294" s="11">
        <v>-0.1045</v>
      </c>
      <c r="H294" s="13">
        <v>1.0994999999999999</v>
      </c>
      <c r="I294" s="11">
        <v>1.026</v>
      </c>
      <c r="J294" s="11">
        <v>4</v>
      </c>
      <c r="K294" s="11">
        <v>4</v>
      </c>
      <c r="L294" s="11">
        <v>1133280</v>
      </c>
      <c r="M294" s="11">
        <v>1.2254400000000001</v>
      </c>
      <c r="N294" s="23">
        <v>36140000</v>
      </c>
      <c r="O294" s="11">
        <v>-20.979099999999999</v>
      </c>
      <c r="P294" s="18">
        <v>205.14699999999999</v>
      </c>
      <c r="Q294" s="18">
        <v>-7.0000000000000007E-2</v>
      </c>
      <c r="R294" s="18">
        <v>-2669.22</v>
      </c>
      <c r="S294" s="17">
        <v>-3.8000000000000002E-4</v>
      </c>
      <c r="T294" s="4">
        <v>3.6800000000000001E-3</v>
      </c>
    </row>
    <row r="295" spans="1:20" x14ac:dyDescent="0.3">
      <c r="A295" s="11">
        <v>-4.07E-2</v>
      </c>
      <c r="B295" s="11">
        <v>0.18010000000000001</v>
      </c>
      <c r="C295" s="11">
        <v>0.17741000000000001</v>
      </c>
      <c r="D295" s="11">
        <v>0.17741000000000001</v>
      </c>
      <c r="E295" s="11">
        <v>0.18953999999999999</v>
      </c>
      <c r="F295" s="11">
        <v>0.1673</v>
      </c>
      <c r="G295" s="11">
        <v>-9.2700000000000005E-2</v>
      </c>
      <c r="H295" s="13">
        <v>1.1155999999999999</v>
      </c>
      <c r="I295" s="11">
        <v>1.026</v>
      </c>
      <c r="J295" s="11">
        <v>6</v>
      </c>
      <c r="K295" s="11">
        <v>4</v>
      </c>
      <c r="L295" s="11">
        <v>2549880</v>
      </c>
      <c r="M295" s="11">
        <v>1.22543</v>
      </c>
      <c r="N295" s="23">
        <v>54200000</v>
      </c>
      <c r="O295" s="11">
        <v>-40.306800000000003</v>
      </c>
      <c r="P295" s="18">
        <v>400.71800000000002</v>
      </c>
      <c r="Q295" s="18">
        <v>-7.0000000000000007E-2</v>
      </c>
      <c r="R295" s="18">
        <v>-4913.3999999999996</v>
      </c>
      <c r="S295" s="17">
        <v>-3.2000000000000003E-4</v>
      </c>
      <c r="T295" s="4">
        <v>3.2000000000000002E-3</v>
      </c>
    </row>
    <row r="296" spans="1:20" x14ac:dyDescent="0.3">
      <c r="A296" s="11">
        <v>-4.3999999999999997E-2</v>
      </c>
      <c r="B296" s="11">
        <v>0.17219999999999999</v>
      </c>
      <c r="C296" s="11">
        <v>0.16267999999999999</v>
      </c>
      <c r="D296" s="11">
        <v>0.16267999999999999</v>
      </c>
      <c r="E296" s="11">
        <v>0.17430000000000001</v>
      </c>
      <c r="F296" s="11">
        <v>0.1605</v>
      </c>
      <c r="G296" s="11">
        <v>-8.6199999999999999E-2</v>
      </c>
      <c r="H296" s="13">
        <v>1.1274</v>
      </c>
      <c r="I296" s="11">
        <v>1.026</v>
      </c>
      <c r="J296" s="11">
        <v>8</v>
      </c>
      <c r="K296" s="11">
        <v>4</v>
      </c>
      <c r="L296" s="11">
        <v>4533110</v>
      </c>
      <c r="M296" s="11">
        <v>1.22543</v>
      </c>
      <c r="N296" s="23">
        <v>72270000</v>
      </c>
      <c r="O296" s="11">
        <v>-47.749699999999997</v>
      </c>
      <c r="P296" s="18">
        <v>707.53899999999999</v>
      </c>
      <c r="Q296" s="18">
        <v>-7.0000000000000007E-2</v>
      </c>
      <c r="R296" s="18">
        <v>-8093</v>
      </c>
      <c r="S296" s="17">
        <v>-2.1000000000000001E-4</v>
      </c>
      <c r="T296" s="4">
        <v>3.1800000000000001E-3</v>
      </c>
    </row>
    <row r="297" spans="1:20" x14ac:dyDescent="0.3">
      <c r="A297" s="11">
        <v>-4.1300000000000003E-2</v>
      </c>
      <c r="B297" s="11">
        <v>0.16520000000000001</v>
      </c>
      <c r="C297" s="11">
        <v>0.15498000000000001</v>
      </c>
      <c r="D297" s="11">
        <v>0.15498000000000001</v>
      </c>
      <c r="E297" s="11">
        <v>0.16613</v>
      </c>
      <c r="F297" s="11">
        <v>0.154</v>
      </c>
      <c r="G297" s="11">
        <v>-8.2199999999999995E-2</v>
      </c>
      <c r="H297" s="11">
        <v>1.1252</v>
      </c>
      <c r="I297" s="11">
        <v>1.026</v>
      </c>
      <c r="J297" s="11">
        <v>10</v>
      </c>
      <c r="K297" s="11">
        <v>4</v>
      </c>
      <c r="L297" s="11">
        <v>7082970</v>
      </c>
      <c r="M297" s="11">
        <v>1.22543</v>
      </c>
      <c r="N297" s="23">
        <v>90340000</v>
      </c>
      <c r="O297" s="11">
        <v>-40.165399999999998</v>
      </c>
      <c r="P297" s="18">
        <v>1125.3399999999999</v>
      </c>
      <c r="Q297" s="18">
        <v>-7.0000000000000007E-2</v>
      </c>
      <c r="R297" s="18">
        <v>-12332.4</v>
      </c>
      <c r="S297" s="17">
        <v>-1.2E-4</v>
      </c>
      <c r="T297" s="4">
        <v>3.2299999999999998E-3</v>
      </c>
    </row>
    <row r="301" spans="1:20" ht="36" x14ac:dyDescent="0.3">
      <c r="A301" s="12" t="s">
        <v>31</v>
      </c>
      <c r="B301" s="12" t="s">
        <v>32</v>
      </c>
      <c r="C301" s="12" t="s">
        <v>33</v>
      </c>
      <c r="D301" s="12" t="s">
        <v>44</v>
      </c>
      <c r="E301" s="12" t="s">
        <v>34</v>
      </c>
      <c r="F301" s="12" t="s">
        <v>35</v>
      </c>
      <c r="G301" s="12" t="s">
        <v>36</v>
      </c>
      <c r="H301" s="12" t="s">
        <v>37</v>
      </c>
      <c r="I301" s="12" t="s">
        <v>38</v>
      </c>
      <c r="J301" s="12" t="s">
        <v>39</v>
      </c>
      <c r="K301" s="12" t="s">
        <v>40</v>
      </c>
      <c r="L301" s="12" t="s">
        <v>41</v>
      </c>
      <c r="M301" s="12" t="s">
        <v>42</v>
      </c>
      <c r="N301" s="12" t="s">
        <v>43</v>
      </c>
      <c r="O301" s="12" t="s">
        <v>45</v>
      </c>
      <c r="P301" s="16" t="s">
        <v>46</v>
      </c>
      <c r="Q301" s="16" t="s">
        <v>47</v>
      </c>
      <c r="R301" s="16" t="s">
        <v>48</v>
      </c>
      <c r="S301" s="16" t="s">
        <v>51</v>
      </c>
      <c r="T301" s="4" t="s">
        <v>52</v>
      </c>
    </row>
    <row r="302" spans="1:20" x14ac:dyDescent="0.3">
      <c r="A302" s="11">
        <v>-0.1492</v>
      </c>
      <c r="B302" s="11">
        <v>0.52259999999999995</v>
      </c>
      <c r="C302" s="11">
        <v>0.18984000000000001</v>
      </c>
      <c r="D302" s="11">
        <v>0.18984000000000001</v>
      </c>
      <c r="E302" s="11">
        <v>0.26072000000000001</v>
      </c>
      <c r="F302" s="11">
        <v>0.49109999999999998</v>
      </c>
      <c r="G302" s="11">
        <v>-0.1802</v>
      </c>
      <c r="H302" s="11">
        <v>1.1393</v>
      </c>
      <c r="I302" s="11">
        <v>1.026</v>
      </c>
      <c r="J302" s="11">
        <v>0.3</v>
      </c>
      <c r="K302" s="11">
        <v>8</v>
      </c>
      <c r="L302" s="11">
        <v>6374.74</v>
      </c>
      <c r="M302" s="11">
        <v>1.22543</v>
      </c>
      <c r="N302" s="23">
        <v>2710000</v>
      </c>
      <c r="O302" s="11">
        <v>-3.7100000000000001E-2</v>
      </c>
      <c r="P302" s="18">
        <v>0.42580000000000001</v>
      </c>
      <c r="Q302" s="18">
        <v>-7.0000000000000007E-2</v>
      </c>
      <c r="R302" s="18">
        <v>-4.4477000000000002</v>
      </c>
      <c r="S302" s="17">
        <v>-1.2E-4</v>
      </c>
      <c r="T302" s="4">
        <v>1.3600000000000001E-3</v>
      </c>
    </row>
    <row r="303" spans="1:20" x14ac:dyDescent="0.3">
      <c r="A303" s="11">
        <v>-0.17</v>
      </c>
      <c r="B303" s="11">
        <v>0.54510000000000003</v>
      </c>
      <c r="C303" s="11">
        <v>0.20236999999999999</v>
      </c>
      <c r="D303" s="11">
        <v>0.20236999999999999</v>
      </c>
      <c r="E303" s="11">
        <v>0.27627000000000002</v>
      </c>
      <c r="F303" s="11">
        <v>0.51160000000000005</v>
      </c>
      <c r="G303" s="11">
        <v>-0.18790000000000001</v>
      </c>
      <c r="H303" s="11">
        <v>1.1497999999999999</v>
      </c>
      <c r="I303" s="11">
        <v>1.026</v>
      </c>
      <c r="J303" s="11">
        <v>0.5</v>
      </c>
      <c r="K303" s="11">
        <v>8</v>
      </c>
      <c r="L303" s="11">
        <v>17707.7</v>
      </c>
      <c r="M303" s="11">
        <v>1.22543</v>
      </c>
      <c r="N303" s="23">
        <v>4517000</v>
      </c>
      <c r="O303" s="11">
        <v>-6.2300000000000001E-2</v>
      </c>
      <c r="P303" s="18">
        <v>1.1738999999999999</v>
      </c>
      <c r="Q303" s="18">
        <v>-7.0000000000000007E-2</v>
      </c>
      <c r="R303" s="18">
        <v>-11.8902</v>
      </c>
      <c r="S303" s="17">
        <v>-6.9999999999999994E-5</v>
      </c>
      <c r="T303" s="4">
        <v>1.3500000000000001E-3</v>
      </c>
    </row>
    <row r="304" spans="1:20" x14ac:dyDescent="0.3">
      <c r="A304" s="11">
        <v>-0.23280000000000001</v>
      </c>
      <c r="B304" s="11">
        <v>0.60399999999999998</v>
      </c>
      <c r="C304" s="11">
        <v>0.25813000000000003</v>
      </c>
      <c r="D304" s="11">
        <v>0.25813000000000003</v>
      </c>
      <c r="E304" s="11">
        <v>0.33968999999999999</v>
      </c>
      <c r="F304" s="11">
        <v>0.56220000000000003</v>
      </c>
      <c r="G304" s="11">
        <v>-0.2054</v>
      </c>
      <c r="H304" s="11">
        <v>1.179</v>
      </c>
      <c r="I304" s="11">
        <v>1.026</v>
      </c>
      <c r="J304" s="11">
        <v>0.80001999999999995</v>
      </c>
      <c r="K304" s="11">
        <v>8</v>
      </c>
      <c r="L304" s="11">
        <v>45335.7</v>
      </c>
      <c r="M304" s="11">
        <v>1.2254799999999999</v>
      </c>
      <c r="N304" s="23">
        <v>7228000</v>
      </c>
      <c r="O304" s="11">
        <v>0.1153</v>
      </c>
      <c r="P304" s="18">
        <v>3.0051999999999999</v>
      </c>
      <c r="Q304" s="18">
        <v>-7.0000000000000007E-2</v>
      </c>
      <c r="R304" s="18">
        <v>-27.346699999999998</v>
      </c>
      <c r="S304" s="17">
        <v>5.0000000000000002E-5</v>
      </c>
      <c r="T304" s="4">
        <v>1.3500000000000001E-3</v>
      </c>
    </row>
    <row r="305" spans="1:20" x14ac:dyDescent="0.3">
      <c r="A305" s="11">
        <v>-0.22750000000000001</v>
      </c>
      <c r="B305" s="11">
        <v>0.57589999999999997</v>
      </c>
      <c r="C305" s="11">
        <v>0.46989999999999998</v>
      </c>
      <c r="D305" s="11">
        <v>0.46989999999999998</v>
      </c>
      <c r="E305" s="11">
        <v>0.54547000000000001</v>
      </c>
      <c r="F305" s="11">
        <v>0.50490000000000002</v>
      </c>
      <c r="G305" s="11">
        <v>-0.20469999999999999</v>
      </c>
      <c r="H305" s="11">
        <v>1.1829000000000001</v>
      </c>
      <c r="I305" s="11">
        <v>1.026</v>
      </c>
      <c r="J305" s="11">
        <v>1.1997800000000001</v>
      </c>
      <c r="K305" s="11">
        <v>8</v>
      </c>
      <c r="L305" s="11">
        <v>102036</v>
      </c>
      <c r="M305" s="11">
        <v>1.2263599999999999</v>
      </c>
      <c r="N305" s="23">
        <v>10850000</v>
      </c>
      <c r="O305" s="11">
        <v>2.0924</v>
      </c>
      <c r="P305" s="18">
        <v>3.0139</v>
      </c>
      <c r="Q305" s="18">
        <v>-7.0000000000000007E-2</v>
      </c>
      <c r="R305" s="18">
        <v>-8.6719000000000008</v>
      </c>
      <c r="S305" s="17">
        <v>4.2000000000000002E-4</v>
      </c>
      <c r="T305" s="4">
        <v>5.9999999999999995E-4</v>
      </c>
    </row>
    <row r="306" spans="1:20" x14ac:dyDescent="0.3">
      <c r="A306" s="11">
        <v>-0.1113</v>
      </c>
      <c r="B306" s="11">
        <v>0.46</v>
      </c>
      <c r="C306" s="11">
        <v>0.34176000000000001</v>
      </c>
      <c r="D306" s="11">
        <v>0.34176000000000001</v>
      </c>
      <c r="E306" s="11">
        <v>0.40244999999999997</v>
      </c>
      <c r="F306" s="11">
        <v>0.40789999999999998</v>
      </c>
      <c r="G306" s="11">
        <v>-0.15709999999999999</v>
      </c>
      <c r="H306" s="11">
        <v>1.1220000000000001</v>
      </c>
      <c r="I306" s="11">
        <v>1.026</v>
      </c>
      <c r="J306" s="11">
        <v>1.99997</v>
      </c>
      <c r="K306" s="11">
        <v>8</v>
      </c>
      <c r="L306" s="11">
        <v>283343</v>
      </c>
      <c r="M306" s="11">
        <v>1.22557</v>
      </c>
      <c r="N306" s="23">
        <v>18070000</v>
      </c>
      <c r="O306" s="11">
        <v>2.4051</v>
      </c>
      <c r="P306" s="18">
        <v>20.319400000000002</v>
      </c>
      <c r="Q306" s="18">
        <v>-7.0000000000000007E-2</v>
      </c>
      <c r="R306" s="18">
        <v>-187.05600000000001</v>
      </c>
      <c r="S306" s="17">
        <v>1.7000000000000001E-4</v>
      </c>
      <c r="T306" s="4">
        <v>1.4599999999999999E-3</v>
      </c>
    </row>
    <row r="307" spans="1:20" x14ac:dyDescent="0.3">
      <c r="A307" s="11">
        <v>-6.59E-2</v>
      </c>
      <c r="B307" s="11">
        <v>0.39979999999999999</v>
      </c>
      <c r="C307" s="11">
        <v>0.22175</v>
      </c>
      <c r="D307" s="11">
        <v>0.22175</v>
      </c>
      <c r="E307" s="11">
        <v>0.27522999999999997</v>
      </c>
      <c r="F307" s="11">
        <v>0.36499999999999999</v>
      </c>
      <c r="G307" s="11">
        <v>-0.1132</v>
      </c>
      <c r="H307" s="11">
        <v>1.0913999999999999</v>
      </c>
      <c r="I307" s="11">
        <v>1.026</v>
      </c>
      <c r="J307" s="11">
        <v>4</v>
      </c>
      <c r="K307" s="11">
        <v>8</v>
      </c>
      <c r="L307" s="11">
        <v>1133290</v>
      </c>
      <c r="M307" s="11">
        <v>1.2254400000000001</v>
      </c>
      <c r="N307" s="23">
        <v>36140000</v>
      </c>
      <c r="O307" s="11">
        <v>4.7065000000000001</v>
      </c>
      <c r="P307" s="18">
        <v>63.569200000000002</v>
      </c>
      <c r="Q307" s="18">
        <v>-7.0000000000000007E-2</v>
      </c>
      <c r="R307" s="18">
        <v>-583.02099999999996</v>
      </c>
      <c r="S307" s="17">
        <v>8.0000000000000007E-5</v>
      </c>
      <c r="T307" s="4">
        <v>1.14E-3</v>
      </c>
    </row>
    <row r="308" spans="1:20" x14ac:dyDescent="0.3">
      <c r="A308" s="11">
        <v>-7.0099999999999996E-2</v>
      </c>
      <c r="B308" s="11">
        <v>0.37669999999999998</v>
      </c>
      <c r="C308" s="11">
        <v>0.19195999999999999</v>
      </c>
      <c r="D308" s="11">
        <v>0.19195999999999999</v>
      </c>
      <c r="E308" s="11">
        <v>0.24251</v>
      </c>
      <c r="F308" s="11">
        <v>0.3463</v>
      </c>
      <c r="G308" s="11">
        <v>-0.1007</v>
      </c>
      <c r="H308" s="11">
        <v>1.0999000000000001</v>
      </c>
      <c r="I308" s="11">
        <v>1.026</v>
      </c>
      <c r="J308" s="11">
        <v>6</v>
      </c>
      <c r="K308" s="11">
        <v>8</v>
      </c>
      <c r="L308" s="11">
        <v>2549890</v>
      </c>
      <c r="M308" s="11">
        <v>1.2254400000000001</v>
      </c>
      <c r="N308" s="23">
        <v>54200000</v>
      </c>
      <c r="O308" s="11">
        <v>7.2850000000000001</v>
      </c>
      <c r="P308" s="18">
        <v>133.91900000000001</v>
      </c>
      <c r="Q308" s="18">
        <v>-7.0000000000000007E-2</v>
      </c>
      <c r="R308" s="18">
        <v>-1163.51</v>
      </c>
      <c r="S308" s="17">
        <v>6.0000000000000002E-5</v>
      </c>
      <c r="T308" s="4">
        <v>1.07E-3</v>
      </c>
    </row>
    <row r="309" spans="1:20" x14ac:dyDescent="0.3">
      <c r="A309" s="11">
        <v>-6.7699999999999996E-2</v>
      </c>
      <c r="B309" s="11">
        <v>0.35759999999999997</v>
      </c>
      <c r="C309" s="11">
        <v>0.17793</v>
      </c>
      <c r="D309" s="11">
        <v>0.17793</v>
      </c>
      <c r="E309" s="11">
        <v>0.22597</v>
      </c>
      <c r="F309" s="11">
        <v>0.32929999999999998</v>
      </c>
      <c r="G309" s="11">
        <v>-9.2999999999999999E-2</v>
      </c>
      <c r="H309" s="11">
        <v>1.1011</v>
      </c>
      <c r="I309" s="11">
        <v>1.026</v>
      </c>
      <c r="J309" s="11">
        <v>8</v>
      </c>
      <c r="K309" s="11">
        <v>8</v>
      </c>
      <c r="L309" s="11">
        <v>4533130</v>
      </c>
      <c r="M309" s="11">
        <v>1.2254400000000001</v>
      </c>
      <c r="N309" s="23">
        <v>72270000</v>
      </c>
      <c r="O309" s="11">
        <v>16.825500000000002</v>
      </c>
      <c r="P309" s="18">
        <v>258.851</v>
      </c>
      <c r="Q309" s="18">
        <v>-7.0000000000000007E-2</v>
      </c>
      <c r="R309" s="18">
        <v>-2188.35</v>
      </c>
      <c r="S309" s="17">
        <v>8.0000000000000007E-5</v>
      </c>
      <c r="T309" s="4">
        <v>1.16E-3</v>
      </c>
    </row>
    <row r="310" spans="1:20" x14ac:dyDescent="0.3">
      <c r="A310" s="11">
        <v>-6.3399999999999998E-2</v>
      </c>
      <c r="B310" s="11">
        <v>0.3458</v>
      </c>
      <c r="C310" s="11">
        <v>0.17033000000000001</v>
      </c>
      <c r="D310" s="11">
        <v>0.17033000000000001</v>
      </c>
      <c r="E310" s="11">
        <v>0.21679999999999999</v>
      </c>
      <c r="F310" s="11">
        <v>0.31869999999999998</v>
      </c>
      <c r="G310" s="11">
        <v>-8.8099999999999998E-2</v>
      </c>
      <c r="H310" s="11">
        <v>1.0988</v>
      </c>
      <c r="I310" s="11">
        <v>1.026</v>
      </c>
      <c r="J310" s="11">
        <v>10</v>
      </c>
      <c r="K310" s="11">
        <v>8</v>
      </c>
      <c r="L310" s="11">
        <v>7083030</v>
      </c>
      <c r="M310" s="11">
        <v>1.2254400000000001</v>
      </c>
      <c r="N310" s="23">
        <v>90340000</v>
      </c>
      <c r="O310" s="11">
        <v>39.4574</v>
      </c>
      <c r="P310" s="18">
        <v>434.887</v>
      </c>
      <c r="Q310" s="18">
        <v>-7.0000000000000007E-2</v>
      </c>
      <c r="R310" s="18">
        <v>-3545.88</v>
      </c>
      <c r="S310" s="17">
        <v>1.1E-4</v>
      </c>
      <c r="T310" s="4">
        <v>1.25E-3</v>
      </c>
    </row>
    <row r="314" spans="1:20" ht="36" x14ac:dyDescent="0.3">
      <c r="A314" s="12" t="s">
        <v>31</v>
      </c>
      <c r="B314" s="12" t="s">
        <v>32</v>
      </c>
      <c r="C314" s="12" t="s">
        <v>33</v>
      </c>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     <v>37</v>
      </c>
      <c r="I314" s="12" t="s">
        <v>38</v>
      </c>
      <c r="J314" s="12" t="s">
        <v>39</v>
      </c>
      <c r="K314" s="12" t="s">
        <v>40</v>
      </c>
      <c r="L314" s="12" t="s">
        <v>41</v>
      </c>
      <c r="M314" s="12" t="s">
        <v>42</v>
      </c>
      <c r="N314" s="12" t="s">
        <v>43</v>
      </c>
      <c r="O314" s="12" t="s">
        <v>45</v>
      </c>
      <c r="P314" s="16" t="s">
        <v>46</v>
      </c>
      <c r="Q314" s="16" t="s">
        <v>47</v>
      </c>
      <c r="R314" s="16" t="s">
        <v>48</v>
      </c>
      <c r="S314" s="16" t="s">
        <v>51</v>
      </c>
      <c r="T314" s="4" t="s">
        <v>52</v>
      </c>
    </row>
    <row r="315" spans="1:20" x14ac:dyDescent="0.3">
      <c r="A315" s="11">
        <v>-0.22109999999999999</v>
      </c>
      <c r="B315" s="11">
        <v>0.77270000000000005</v>
      </c>
      <c r="C315" s="11">
        <v>0.1779</v>
      </c>
      <c r="D315" s="11">
        <v>0.1779</v>
      </c>
      <c r="E315" s="11">
        <v>0.33467999999999998</v>
      </c>
      <c r="F315" s="11">
        <v>0.71889999999999998</v>
      </c>
      <c r="G315" s="11">
        <v>-0.17219999999999999</v>
      </c>
      <c r="H315" s="11">
        <v>1.1395999999999999</v>
      </c>
      <c r="I315" s="13">
        <v>1.026</v>
      </c>
      <c r="J315" s="11">
        <v>0.3</v>
      </c>
      <c r="K315" s="11">
        <v>12</v>
      </c>
      <c r="L315" s="11">
        <v>6374.77</v>
      </c>
      <c r="M315" s="11">
        <v>1.22543</v>
      </c>
      <c r="N315" s="23">
        <v>2710000</v>
      </c>
      <c r="O315" s="11">
        <v>0.79139999999999999</v>
      </c>
      <c r="P315" s="18">
        <v>-1.0911</v>
      </c>
      <c r="Q315" s="18">
        <v>-7.0000000000000007E-2</v>
      </c>
      <c r="R315" s="18">
        <v>18.807200000000002</v>
      </c>
      <c r="S315" s="17">
        <v>2.5300000000000001E-3</v>
      </c>
      <c r="T315" s="4">
        <v>-3.48E-3</v>
      </c>
    </row>
    <row r="316" spans="1:20" x14ac:dyDescent="0.3">
      <c r="A316" s="11">
        <v>-0.2152</v>
      </c>
      <c r="B316" s="11">
        <v>0.77280000000000004</v>
      </c>
      <c r="C316" s="11">
        <v>0.19342000000000001</v>
      </c>
      <c r="D316" s="11">
        <v>0.19342000000000001</v>
      </c>
      <c r="E316" s="11">
        <v>0.34987000000000001</v>
      </c>
      <c r="F316" s="11">
        <v>0.7157</v>
      </c>
      <c r="G316" s="11">
        <v>-0.159</v>
      </c>
      <c r="H316" s="11">
        <v>1.1366000000000001</v>
      </c>
      <c r="I316" s="13">
        <v>1.026</v>
      </c>
      <c r="J316" s="11">
        <v>0.50000999999999995</v>
      </c>
      <c r="K316" s="11">
        <v>12</v>
      </c>
      <c r="L316" s="11">
        <v>17707.900000000001</v>
      </c>
      <c r="M316" s="11">
        <v>1.22543</v>
      </c>
      <c r="N316" s="23">
        <v>4517000</v>
      </c>
      <c r="O316" s="11">
        <v>2.2408999999999999</v>
      </c>
      <c r="P316" s="18">
        <v>-3.1236000000000002</v>
      </c>
      <c r="Q316" s="18">
        <v>-7.0000000000000007E-2</v>
      </c>
      <c r="R316" s="18">
        <v>53.9741</v>
      </c>
      <c r="S316" s="17">
        <v>2.5799999999999998E-3</v>
      </c>
      <c r="T316" s="4">
        <v>-3.5899999999999999E-3</v>
      </c>
    </row>
    <row r="317" spans="1:20" x14ac:dyDescent="0.3">
      <c r="A317" s="11">
        <v>-0.30059999999999998</v>
      </c>
      <c r="B317" s="11">
        <v>0.86070000000000002</v>
      </c>
      <c r="C317" s="11">
        <v>0.24912999999999999</v>
      </c>
      <c r="D317" s="11">
        <v>0.24912999999999999</v>
      </c>
      <c r="E317" s="11">
        <v>0.42264000000000002</v>
      </c>
      <c r="F317" s="11">
        <v>0.79010000000000002</v>
      </c>
      <c r="G317" s="11">
        <v>-0.1754</v>
      </c>
      <c r="H317" s="11">
        <v>1.1646000000000001</v>
      </c>
      <c r="I317" s="13">
        <v>1.026</v>
      </c>
      <c r="J317" s="11">
        <v>0.80003000000000002</v>
      </c>
      <c r="K317" s="11">
        <v>12</v>
      </c>
      <c r="L317" s="11">
        <v>45338.5</v>
      </c>
      <c r="M317" s="11">
        <v>1.2255199999999999</v>
      </c>
      <c r="N317" s="23">
        <v>7228000</v>
      </c>
      <c r="O317" s="11">
        <v>5.4374000000000002</v>
      </c>
      <c r="P317" s="18">
        <v>-10.050800000000001</v>
      </c>
      <c r="Q317" s="18">
        <v>-7.0000000000000007E-2</v>
      </c>
      <c r="R317" s="18">
        <v>171.82900000000001</v>
      </c>
      <c r="S317" s="17">
        <v>2.4399999999999999E-3</v>
      </c>
      <c r="T317" s="4">
        <v>-4.5100000000000001E-3</v>
      </c>
    </row>
    <row r="318" spans="1:20" x14ac:dyDescent="0.3">
      <c r="A318" s="11">
        <v>-0.30270000000000002</v>
      </c>
      <c r="B318" s="11">
        <v>0.84199999999999997</v>
      </c>
      <c r="C318" s="11">
        <v>0.4657</v>
      </c>
      <c r="D318" s="11">
        <v>0.4657</v>
      </c>
      <c r="E318" s="11">
        <v>0.63060000000000005</v>
      </c>
      <c r="F318" s="11">
        <v>0.7268</v>
      </c>
      <c r="G318" s="11">
        <v>-0.1938</v>
      </c>
      <c r="H318" s="11">
        <v>1.1687000000000001</v>
      </c>
      <c r="I318" s="11">
        <v>1.026</v>
      </c>
      <c r="J318" s="11">
        <v>1.1998</v>
      </c>
      <c r="K318" s="11">
        <v>12</v>
      </c>
      <c r="L318" s="11">
        <v>102030</v>
      </c>
      <c r="M318" s="11">
        <v>1.22627</v>
      </c>
      <c r="N318" s="23">
        <v>10850000</v>
      </c>
      <c r="O318" s="11">
        <v>10.952299999999999</v>
      </c>
      <c r="P318" s="18">
        <v>-22.826000000000001</v>
      </c>
      <c r="Q318" s="18">
        <v>-7.0000000000000007E-2</v>
      </c>
      <c r="R318" s="18">
        <v>379.91</v>
      </c>
      <c r="S318" s="17">
        <v>2.1800000000000001E-3</v>
      </c>
      <c r="T318" s="4">
        <v>-4.5500000000000002E-3</v>
      </c>
    </row>
    <row r="319" spans="1:20" x14ac:dyDescent="0.3">
      <c r="A319" s="11">
        <v>-0.15379999999999999</v>
      </c>
      <c r="B319" s="11">
        <v>0.71870000000000001</v>
      </c>
      <c r="C319" s="11">
        <v>0.33767000000000003</v>
      </c>
      <c r="D319" s="11">
        <v>0.33767000000000003</v>
      </c>
      <c r="E319" s="11">
        <v>0.47972999999999999</v>
      </c>
      <c r="F319" s="11">
        <v>0.63280000000000003</v>
      </c>
      <c r="G319" s="11">
        <v>-0.15459999999999999</v>
      </c>
      <c r="H319" s="11">
        <v>1.111</v>
      </c>
      <c r="I319" s="13">
        <v>1.026</v>
      </c>
      <c r="J319" s="11">
        <v>1.99997</v>
      </c>
      <c r="K319" s="11">
        <v>12</v>
      </c>
      <c r="L319" s="11">
        <v>283338</v>
      </c>
      <c r="M319" s="11">
        <v>1.2255400000000001</v>
      </c>
      <c r="N319" s="23">
        <v>18070000</v>
      </c>
      <c r="O319" s="11">
        <v>12.9777</v>
      </c>
      <c r="P319" s="18">
        <v>-38.2483</v>
      </c>
      <c r="Q319" s="18">
        <v>-7.0000000000000007E-2</v>
      </c>
      <c r="R319" s="18">
        <v>651.58299999999997</v>
      </c>
      <c r="S319" s="17">
        <v>9.3000000000000005E-4</v>
      </c>
      <c r="T319" s="4">
        <v>-2.7499999999999998E-3</v>
      </c>
    </row>
    <row r="320" spans="1:20" x14ac:dyDescent="0.3">
      <c r="A320" s="11">
        <v>-9.5500000000000002E-2</v>
      </c>
      <c r="B320" s="11">
        <v>0.64200000000000002</v>
      </c>
      <c r="C320" s="11">
        <v>0.23488999999999999</v>
      </c>
      <c r="D320" s="11">
        <v>0.23488999999999999</v>
      </c>
      <c r="E320" s="11">
        <v>0.36324000000000001</v>
      </c>
      <c r="F320" s="11">
        <v>0.57909999999999995</v>
      </c>
      <c r="G320" s="11">
        <v>-0.12039999999999999</v>
      </c>
      <c r="H320" s="11">
        <v>1.085</v>
      </c>
      <c r="I320" s="13">
        <v>1.026</v>
      </c>
      <c r="J320" s="11">
        <v>4</v>
      </c>
      <c r="K320" s="11">
        <v>12</v>
      </c>
      <c r="L320" s="11">
        <v>1133290</v>
      </c>
      <c r="M320" s="11">
        <v>1.2254400000000001</v>
      </c>
      <c r="N320" s="23">
        <v>36140000</v>
      </c>
      <c r="O320" s="11">
        <v>25.7118</v>
      </c>
      <c r="P320" s="18">
        <v>-61.259500000000003</v>
      </c>
      <c r="Q320" s="18">
        <v>-7.0000000000000007E-2</v>
      </c>
      <c r="R320" s="18">
        <v>1109.24</v>
      </c>
      <c r="S320" s="17">
        <v>4.6000000000000001E-4</v>
      </c>
      <c r="T320" s="4">
        <v>-1.1000000000000001E-3</v>
      </c>
    </row>
    <row r="321" spans="1:20" x14ac:dyDescent="0.3">
      <c r="A321" s="11">
        <v>-9.06E-2</v>
      </c>
      <c r="B321" s="11">
        <v>0.59019999999999995</v>
      </c>
      <c r="C321" s="11">
        <v>0.2087</v>
      </c>
      <c r="D321" s="11">
        <v>0.2087</v>
      </c>
      <c r="E321" s="11">
        <v>0.32684000000000002</v>
      </c>
      <c r="F321" s="11">
        <v>0.53390000000000004</v>
      </c>
      <c r="G321" s="11">
        <v>-0.1074</v>
      </c>
      <c r="H321" s="11">
        <v>1.087</v>
      </c>
      <c r="I321" s="13">
        <v>1.026</v>
      </c>
      <c r="J321" s="11">
        <v>6</v>
      </c>
      <c r="K321" s="11">
        <v>12</v>
      </c>
      <c r="L321" s="11">
        <v>2549920</v>
      </c>
      <c r="M321" s="11">
        <v>1.2254499999999999</v>
      </c>
      <c r="N321" s="23">
        <v>54200000</v>
      </c>
      <c r="O321" s="11">
        <v>37.282899999999998</v>
      </c>
      <c r="P321" s="18">
        <v>-60.137900000000002</v>
      </c>
      <c r="Q321" s="18">
        <v>-7.0000000000000007E-2</v>
      </c>
      <c r="R321" s="18">
        <v>1437.26</v>
      </c>
      <c r="S321" s="17">
        <v>2.9999999999999997E-4</v>
      </c>
      <c r="T321" s="4">
        <v>-4.8000000000000001E-4</v>
      </c>
    </row>
    <row r="322" spans="1:20" x14ac:dyDescent="0.3">
      <c r="A322" s="11">
        <v>-8.3400000000000002E-2</v>
      </c>
      <c r="B322" s="11">
        <v>0.55789999999999995</v>
      </c>
      <c r="C322" s="11">
        <v>0.19692999999999999</v>
      </c>
      <c r="D322" s="11">
        <v>0.19692999999999999</v>
      </c>
      <c r="E322" s="11">
        <v>0.30863000000000002</v>
      </c>
      <c r="F322" s="11">
        <v>0.50480000000000003</v>
      </c>
      <c r="G322" s="11">
        <v>-0.1002</v>
      </c>
      <c r="H322" s="11">
        <v>1.0852999999999999</v>
      </c>
      <c r="I322" s="13">
        <v>1.026</v>
      </c>
      <c r="J322" s="11">
        <v>8</v>
      </c>
      <c r="K322" s="11">
        <v>12</v>
      </c>
      <c r="L322" s="11">
        <v>4533220</v>
      </c>
      <c r="M322" s="11">
        <v>1.22546</v>
      </c>
      <c r="N322" s="23">
        <v>72270000</v>
      </c>
      <c r="O322" s="11">
        <v>48.622199999999999</v>
      </c>
      <c r="P322" s="18">
        <v>-32.6539</v>
      </c>
      <c r="Q322" s="18">
        <v>-7.0000000000000007E-2</v>
      </c>
      <c r="R322" s="18">
        <v>1514.34</v>
      </c>
      <c r="S322" s="17">
        <v>2.2000000000000001E-4</v>
      </c>
      <c r="T322" s="4">
        <v>-1.4999999999999999E-4</v>
      </c>
    </row>
    <row r="323" spans="1:20" x14ac:dyDescent="0.3">
      <c r="A323" s="11">
        <v>-7.7299999999999994E-2</v>
      </c>
      <c r="B323" s="11">
        <v>0.53949999999999998</v>
      </c>
      <c r="C323" s="11">
        <v>0.1908</v>
      </c>
      <c r="D323" s="11">
        <v>0.1908</v>
      </c>
      <c r="E323" s="11">
        <v>0.29880000000000001</v>
      </c>
      <c r="F323" s="11">
        <v>0.48799999999999999</v>
      </c>
      <c r="G323" s="11">
        <v>-9.5799999999999996E-2</v>
      </c>
      <c r="H323" s="11">
        <v>1.0829</v>
      </c>
      <c r="I323" s="11">
        <v>1.026</v>
      </c>
      <c r="J323" s="11">
        <v>10</v>
      </c>
      <c r="K323" s="11">
        <v>12</v>
      </c>
      <c r="L323" s="11">
        <v>7083180</v>
      </c>
      <c r="M323" s="11">
        <v>1.22546</v>
      </c>
      <c r="N323" s="23">
        <v>90340000</v>
      </c>
      <c r="O323" s="11">
        <v>66.389600000000002</v>
      </c>
      <c r="P323" s="18">
        <v>3.1890999999999998</v>
      </c>
      <c r="Q323" s="18">
        <v>-7.0000000000000007E-2</v>
      </c>
      <c r="R323" s="18">
        <v>1536.11</v>
      </c>
      <c r="S323" s="17">
        <v>1.9000000000000001E-4</v>
      </c>
      <c r="T323" s="4">
        <v>1.0000000000000001E-5</v>
      </c>
    </row>
    <row r="327" spans="1:20" ht="36" x14ac:dyDescent="0.3">
      <c r="A327" s="12" t="s">
        <v>31</v>
      </c>
      <c r="B327" s="12" t="s">
        <v>32</v>
      </c>
      <c r="C327" s="12" t="s">
        <v>33</v>
      </c>
      <c r="D327" s="12" t="s">
        <v>44</v>
      </c>
      <c r="E327" s="12" t="s">
        <v>34</v>
      </c>
      <c r="F327" s="12" t="s">
        <v>35</v>
      </c>
      <c r="G327" s="12" t="s">
        <v>36</v>
      </c>
      <c r="H327" s="12" t="s">
        <v>37</v>
      </c>
      <c r="I327" s="12" t="s">
        <v>38</v>
      </c>
      <c r="J327" s="12" t="s">
        <v>39</v>
      </c>
      <c r="K327" s="12" t="s">
        <v>40</v>
      </c>
      <c r="L327" s="12" t="s">
        <v>41</v>
      </c>
      <c r="M327" s="12" t="s">
        <v>42</v>
      </c>
      <c r="N327" s="12" t="s">
        <v>43</v>
      </c>
      <c r="O327" s="12" t="s">
        <v>45</v>
      </c>
      <c r="P327" s="16" t="s">
        <v>46</v>
      </c>
      <c r="Q327" s="16" t="s">
        <v>47</v>
      </c>
      <c r="R327" s="16" t="s">
        <v>48</v>
      </c>
      <c r="S327" s="16" t="s">
        <v>51</v>
      </c>
      <c r="T327" s="4" t="s">
        <v>52</v>
      </c>
    </row>
    <row r="328" spans="1:20" x14ac:dyDescent="0.3">
      <c r="A328" s="11">
        <v>-0.25609999999999999</v>
      </c>
      <c r="B328" s="11">
        <v>0.98070000000000002</v>
      </c>
      <c r="C328" s="11">
        <v>0.14201</v>
      </c>
      <c r="D328" s="11">
        <v>0.14201</v>
      </c>
      <c r="E328" s="11">
        <v>0.40682000000000001</v>
      </c>
      <c r="F328" s="11">
        <v>0.90359999999999996</v>
      </c>
      <c r="G328" s="11">
        <v>-0.1376</v>
      </c>
      <c r="H328" s="11">
        <v>1.1296999999999999</v>
      </c>
      <c r="I328" s="11">
        <v>1.026</v>
      </c>
      <c r="J328" s="11">
        <v>0.3</v>
      </c>
      <c r="K328" s="11">
        <v>16</v>
      </c>
      <c r="L328" s="11">
        <v>6374.81</v>
      </c>
      <c r="M328" s="11">
        <v>1.22543</v>
      </c>
      <c r="N328" s="23">
        <v>2710000</v>
      </c>
      <c r="O328" s="11">
        <v>1.6037999999999999</v>
      </c>
      <c r="P328" s="18">
        <v>-2.4674</v>
      </c>
      <c r="Q328" s="18">
        <v>-7.0000000000000007E-2</v>
      </c>
      <c r="R328" s="18">
        <v>40.79</v>
      </c>
      <c r="S328" s="17">
        <v>5.1200000000000004E-3</v>
      </c>
      <c r="T328" s="4">
        <v>-7.8799999999999999E-3</v>
      </c>
    </row>
    <row r="329" spans="1:20" x14ac:dyDescent="0.3">
      <c r="A329" s="11">
        <v>-0.26269999999999999</v>
      </c>
      <c r="B329" s="11">
        <v>0.99580000000000002</v>
      </c>
      <c r="C329" s="11">
        <v>0.15445999999999999</v>
      </c>
      <c r="D329" s="11">
        <v>0.15445999999999999</v>
      </c>
      <c r="E329" s="11">
        <v>0.42296</v>
      </c>
      <c r="F329" s="11">
        <v>0.91469999999999996</v>
      </c>
      <c r="G329" s="11">
        <v>-0.1303</v>
      </c>
      <c r="H329" s="11">
        <v>1.1307</v>
      </c>
      <c r="I329" s="11">
        <v>1.026</v>
      </c>
      <c r="J329" s="11">
        <v>0.50000999999999995</v>
      </c>
      <c r="K329" s="11">
        <v>16</v>
      </c>
      <c r="L329" s="11">
        <v>17708.099999999999</v>
      </c>
      <c r="M329" s="11">
        <v>1.2254400000000001</v>
      </c>
      <c r="N329" s="23">
        <v>4517000</v>
      </c>
      <c r="O329" s="11">
        <v>4.5385999999999997</v>
      </c>
      <c r="P329" s="18">
        <v>-7.1204000000000001</v>
      </c>
      <c r="Q329" s="18">
        <v>-7.0000000000000007E-2</v>
      </c>
      <c r="R329" s="18">
        <v>117.88200000000001</v>
      </c>
      <c r="S329" s="17">
        <v>5.2199999999999998E-3</v>
      </c>
      <c r="T329" s="4">
        <v>-8.1799999999999998E-3</v>
      </c>
    </row>
    <row r="330" spans="1:20" x14ac:dyDescent="0.3">
      <c r="A330" s="11">
        <v>-0.35089999999999999</v>
      </c>
      <c r="B330" s="11">
        <v>1.0994999999999999</v>
      </c>
      <c r="C330" s="11">
        <v>0.21007999999999999</v>
      </c>
      <c r="D330" s="11">
        <v>0.21007999999999999</v>
      </c>
      <c r="E330" s="11">
        <v>0.50502000000000002</v>
      </c>
      <c r="F330" s="11">
        <v>0.999</v>
      </c>
      <c r="G330" s="11">
        <v>-0.1346</v>
      </c>
      <c r="H330" s="11">
        <v>1.1527000000000001</v>
      </c>
      <c r="I330" s="11">
        <v>1.026</v>
      </c>
      <c r="J330" s="11">
        <v>0.80005000000000004</v>
      </c>
      <c r="K330" s="11">
        <v>16</v>
      </c>
      <c r="L330" s="11">
        <v>45342.7</v>
      </c>
      <c r="M330" s="11">
        <v>1.2256</v>
      </c>
      <c r="N330" s="23">
        <v>7228000</v>
      </c>
      <c r="O330" s="11">
        <v>10.606999999999999</v>
      </c>
      <c r="P330" s="18">
        <v>-22.331800000000001</v>
      </c>
      <c r="Q330" s="18">
        <v>-7.0000000000000007E-2</v>
      </c>
      <c r="R330" s="18">
        <v>364.75299999999999</v>
      </c>
      <c r="S330" s="17">
        <v>4.7600000000000003E-3</v>
      </c>
      <c r="T330" s="4">
        <v>-1.0019999999999999E-2</v>
      </c>
    </row>
    <row r="331" spans="1:20" x14ac:dyDescent="0.3">
      <c r="A331" s="11">
        <v>-0.35720000000000002</v>
      </c>
      <c r="B331" s="11">
        <v>1.1079000000000001</v>
      </c>
      <c r="C331" s="11">
        <v>0.44105</v>
      </c>
      <c r="D331" s="11">
        <v>0.44105</v>
      </c>
      <c r="E331" s="11">
        <v>0.72933999999999999</v>
      </c>
      <c r="F331" s="11">
        <v>0.94340000000000002</v>
      </c>
      <c r="G331" s="11">
        <v>-0.17460000000000001</v>
      </c>
      <c r="H331" s="11">
        <v>1.1539999999999999</v>
      </c>
      <c r="I331" s="11">
        <v>1.026</v>
      </c>
      <c r="J331" s="11">
        <v>1.1997800000000001</v>
      </c>
      <c r="K331" s="11">
        <v>16</v>
      </c>
      <c r="L331" s="11">
        <v>102028</v>
      </c>
      <c r="M331" s="11">
        <v>1.22627</v>
      </c>
      <c r="N331" s="23">
        <v>10850000</v>
      </c>
      <c r="O331" s="11">
        <v>18.865600000000001</v>
      </c>
      <c r="P331" s="18">
        <v>-46.807499999999997</v>
      </c>
      <c r="Q331" s="18">
        <v>-7.0000000000000007E-2</v>
      </c>
      <c r="R331" s="18">
        <v>739.774</v>
      </c>
      <c r="S331" s="17">
        <v>3.7599999999999999E-3</v>
      </c>
      <c r="T331" s="4">
        <v>-9.3399999999999993E-3</v>
      </c>
    </row>
    <row r="332" spans="1:20" x14ac:dyDescent="0.3">
      <c r="A332" s="11">
        <v>-0.18720000000000001</v>
      </c>
      <c r="B332" s="11">
        <v>1.0316000000000001</v>
      </c>
      <c r="C332" s="11">
        <v>0.33139000000000002</v>
      </c>
      <c r="D332" s="11">
        <v>0.33139000000000002</v>
      </c>
      <c r="E332" s="11">
        <v>0.60290999999999995</v>
      </c>
      <c r="F332" s="11">
        <v>0.90029999999999999</v>
      </c>
      <c r="G332" s="11">
        <v>-0.15110000000000001</v>
      </c>
      <c r="H332" s="11">
        <v>1.0980000000000001</v>
      </c>
      <c r="I332" s="11">
        <v>1.026</v>
      </c>
      <c r="J332" s="11">
        <v>1.99997</v>
      </c>
      <c r="K332" s="11">
        <v>16</v>
      </c>
      <c r="L332" s="11">
        <v>283336</v>
      </c>
      <c r="M332" s="11">
        <v>1.2255400000000001</v>
      </c>
      <c r="N332" s="23">
        <v>18070000</v>
      </c>
      <c r="O332" s="11">
        <v>19.206800000000001</v>
      </c>
      <c r="P332" s="18">
        <v>-87.370800000000003</v>
      </c>
      <c r="Q332" s="18">
        <v>-7.0000000000000007E-2</v>
      </c>
      <c r="R332" s="18">
        <v>1324.09</v>
      </c>
      <c r="S332" s="17">
        <v>1.3799999999999999E-3</v>
      </c>
      <c r="T332" s="4">
        <v>-6.2700000000000004E-3</v>
      </c>
    </row>
    <row r="333" spans="1:20" x14ac:dyDescent="0.3">
      <c r="A333" s="11">
        <v>-0.11890000000000001</v>
      </c>
      <c r="B333" s="11">
        <v>0.90310000000000001</v>
      </c>
      <c r="C333" s="11">
        <v>0.25159999999999999</v>
      </c>
      <c r="D333" s="11">
        <v>0.25159999999999999</v>
      </c>
      <c r="E333" s="11">
        <v>0.49079</v>
      </c>
      <c r="F333" s="11">
        <v>0.79879999999999995</v>
      </c>
      <c r="G333" s="11">
        <v>-0.126</v>
      </c>
      <c r="H333" s="11">
        <v>1.0783</v>
      </c>
      <c r="I333" s="11">
        <v>1.026</v>
      </c>
      <c r="J333" s="11">
        <v>4</v>
      </c>
      <c r="K333" s="11">
        <v>16</v>
      </c>
      <c r="L333" s="11">
        <v>1133310</v>
      </c>
      <c r="M333" s="11">
        <v>1.2254700000000001</v>
      </c>
      <c r="N333" s="23">
        <v>36140000</v>
      </c>
      <c r="O333" s="11">
        <v>31.990400000000001</v>
      </c>
      <c r="P333" s="18">
        <v>-145.887</v>
      </c>
      <c r="Q333" s="18">
        <v>-7.0000000000000007E-2</v>
      </c>
      <c r="R333" s="18">
        <v>2233.6999999999998</v>
      </c>
      <c r="S333" s="17">
        <v>5.6999999999999998E-4</v>
      </c>
      <c r="T333" s="4">
        <v>-2.6199999999999999E-3</v>
      </c>
    </row>
    <row r="334" spans="1:20" x14ac:dyDescent="0.3">
      <c r="A334" s="11">
        <v>-0.1061</v>
      </c>
      <c r="B334" s="11">
        <v>0.81810000000000005</v>
      </c>
      <c r="C334" s="11">
        <v>0.23252999999999999</v>
      </c>
      <c r="D334" s="11">
        <v>0.23252999999999999</v>
      </c>
      <c r="E334" s="11">
        <v>0.44901999999999997</v>
      </c>
      <c r="F334" s="11">
        <v>0.72230000000000005</v>
      </c>
      <c r="G334" s="11">
        <v>-0.11600000000000001</v>
      </c>
      <c r="H334" s="11">
        <v>1.0774999999999999</v>
      </c>
      <c r="I334" s="11">
        <v>1.026</v>
      </c>
      <c r="J334" s="11">
        <v>6</v>
      </c>
      <c r="K334" s="11">
        <v>16</v>
      </c>
      <c r="L334" s="11">
        <v>2550020</v>
      </c>
      <c r="M334" s="11">
        <v>1.2255</v>
      </c>
      <c r="N334" s="23">
        <v>54210000</v>
      </c>
      <c r="O334" s="11">
        <v>43.231900000000003</v>
      </c>
      <c r="P334" s="18">
        <v>-158.56399999999999</v>
      </c>
      <c r="Q334" s="18">
        <v>-7.0000000000000007E-2</v>
      </c>
      <c r="R334" s="18">
        <v>2697.31</v>
      </c>
      <c r="S334" s="17">
        <v>3.4000000000000002E-4</v>
      </c>
      <c r="T334" s="4">
        <v>-1.2700000000000001E-3</v>
      </c>
    </row>
    <row r="335" spans="1:20" x14ac:dyDescent="0.3">
      <c r="A335" s="11">
        <v>-9.69E-2</v>
      </c>
      <c r="B335" s="11">
        <v>0.77559999999999996</v>
      </c>
      <c r="C335" s="11">
        <v>0.22258</v>
      </c>
      <c r="D335" s="11">
        <v>0.22258</v>
      </c>
      <c r="E335" s="11">
        <v>0.42775000000000002</v>
      </c>
      <c r="F335" s="11">
        <v>0.68420000000000003</v>
      </c>
      <c r="G335" s="11">
        <v>-0.1094</v>
      </c>
      <c r="H335" s="11">
        <v>1.0755999999999999</v>
      </c>
      <c r="I335" s="11">
        <v>1.026</v>
      </c>
      <c r="J335" s="11">
        <v>8</v>
      </c>
      <c r="K335" s="11">
        <v>16</v>
      </c>
      <c r="L335" s="11">
        <v>4533440</v>
      </c>
      <c r="M335" s="11">
        <v>1.2255199999999999</v>
      </c>
      <c r="N335" s="23">
        <v>72280000</v>
      </c>
      <c r="O335" s="11">
        <v>61.540799999999997</v>
      </c>
      <c r="P335" s="18">
        <v>-182.244</v>
      </c>
      <c r="Q335" s="18">
        <v>-7.0000000000000007E-2</v>
      </c>
      <c r="R335" s="18">
        <v>3310.48</v>
      </c>
      <c r="S335" s="17">
        <v>2.7999999999999998E-4</v>
      </c>
      <c r="T335" s="4">
        <v>-8.1999999999999998E-4</v>
      </c>
    </row>
    <row r="336" spans="1:20" x14ac:dyDescent="0.3">
      <c r="A336" s="11">
        <v>-9.06E-2</v>
      </c>
      <c r="B336" s="11">
        <v>0.75249999999999995</v>
      </c>
      <c r="C336" s="11">
        <v>0.21690000000000001</v>
      </c>
      <c r="D336" s="11">
        <v>0.21690000000000001</v>
      </c>
      <c r="E336" s="11">
        <v>0.41592000000000001</v>
      </c>
      <c r="F336" s="11">
        <v>0.66359999999999997</v>
      </c>
      <c r="G336" s="11">
        <v>-0.1051</v>
      </c>
      <c r="H336" s="11">
        <v>1.0738000000000001</v>
      </c>
      <c r="I336" s="11">
        <v>1.026</v>
      </c>
      <c r="J336" s="11">
        <v>10</v>
      </c>
      <c r="K336" s="11">
        <v>16</v>
      </c>
      <c r="L336" s="11">
        <v>7083560</v>
      </c>
      <c r="M336" s="11">
        <v>1.22553</v>
      </c>
      <c r="N336" s="23">
        <v>90350000</v>
      </c>
      <c r="O336" s="11">
        <v>79.871799999999993</v>
      </c>
      <c r="P336" s="18">
        <v>-218.089</v>
      </c>
      <c r="Q336" s="18">
        <v>-7.0000000000000007E-2</v>
      </c>
      <c r="R336" s="18">
        <v>4080.34</v>
      </c>
      <c r="S336" s="17">
        <v>2.3000000000000001E-4</v>
      </c>
      <c r="T336" s="4">
        <v>-6.3000000000000003E-4</v>
      </c>
    </row>
    <row r="339" spans="1:20" ht="36" x14ac:dyDescent="0.3">
      <c r="A339" s="12" t="s">
        <v>31</v>
      </c>
      <c r="B339" s="12" t="s">
        <v>32</v>
      </c>
      <c r="C339" s="12" t="s">
        <v>33</v>
      </c>
      <c r="D339" s="12" t="s">
        <v>44</v>
      </c>
      <c r="E339" s="12" t="s">
        <v>34</v>
      </c>
      <c r="F339" s="12" t="s">
        <v>35</v>
      </c>
      <c r="G339" s="12" t="s">
        <v>36</v>
      </c>
      <c r="H339" s="12" t="s">
        <v>37</v>
      </c>
      <c r="I339" s="12" t="s">
        <v>38</v>
      </c>
      <c r="J339" s="12" t="s">
        <v>39</v>
      </c>
      <c r="K339" s="12" t="s">
        <v>40</v>
      </c>
      <c r="L339" s="12" t="s">
        <v>41</v>
      </c>
      <c r="M339" s="12" t="s">
        <v>42</v>
      </c>
      <c r="N339" s="12" t="s">
        <v>43</v>
      </c>
      <c r="O339" s="12" t="s">
        <v>45</v>
      </c>
      <c r="P339" s="16" t="s">
        <v>46</v>
      </c>
      <c r="Q339" s="16" t="s">
        <v>47</v>
      </c>
      <c r="R339" s="16" t="s">
        <v>48</v>
      </c>
      <c r="S339" s="16" t="s">
        <v>51</v>
      </c>
      <c r="T339" s="4" t="s">
        <v>52</v>
      </c>
    </row>
    <row r="340" spans="1:20" x14ac:dyDescent="0.3">
      <c r="A340" s="11">
        <v>-0.29070000000000001</v>
      </c>
      <c r="B340" s="11">
        <v>1.1777</v>
      </c>
      <c r="C340" s="11">
        <v>9.4719999999999999E-2</v>
      </c>
      <c r="D340" s="11">
        <v>9.4719999999999999E-2</v>
      </c>
      <c r="E340" s="11">
        <v>0.49181000000000002</v>
      </c>
      <c r="F340" s="11">
        <v>1.0743</v>
      </c>
      <c r="G340" s="11">
        <v>-0.1027</v>
      </c>
      <c r="H340" s="11">
        <v>1.1240000000000001</v>
      </c>
      <c r="I340" s="13">
        <v>1.026</v>
      </c>
      <c r="J340" s="11">
        <v>0.3</v>
      </c>
      <c r="K340" s="11">
        <v>20</v>
      </c>
      <c r="L340" s="11">
        <v>6374.85</v>
      </c>
      <c r="M340" s="11">
        <v>1.22543</v>
      </c>
      <c r="N340" s="23">
        <v>2710000</v>
      </c>
      <c r="O340" s="11">
        <v>2.3748</v>
      </c>
      <c r="P340" s="18">
        <v>-3.7151999999999998</v>
      </c>
      <c r="Q340" s="18">
        <v>-7.0000000000000007E-2</v>
      </c>
      <c r="R340" s="18">
        <v>61.346699999999998</v>
      </c>
      <c r="S340" s="17">
        <v>7.5799999999999999E-3</v>
      </c>
      <c r="T340" s="4">
        <v>-1.1860000000000001E-2</v>
      </c>
    </row>
    <row r="341" spans="1:20" x14ac:dyDescent="0.3">
      <c r="A341" s="11">
        <v>-0.29920000000000002</v>
      </c>
      <c r="B341" s="11">
        <v>1.2024999999999999</v>
      </c>
      <c r="C341" s="11">
        <v>0.10702</v>
      </c>
      <c r="D341" s="11">
        <v>0.10702</v>
      </c>
      <c r="E341" s="11">
        <v>0.51185999999999998</v>
      </c>
      <c r="F341" s="11">
        <v>1.0933999999999999</v>
      </c>
      <c r="G341" s="11">
        <v>-9.5899999999999999E-2</v>
      </c>
      <c r="H341" s="11">
        <v>1.1248</v>
      </c>
      <c r="I341" s="13">
        <v>1.026</v>
      </c>
      <c r="J341" s="11">
        <v>0.50000999999999995</v>
      </c>
      <c r="K341" s="11">
        <v>20</v>
      </c>
      <c r="L341" s="11">
        <v>17708.3</v>
      </c>
      <c r="M341" s="11">
        <v>1.2254400000000001</v>
      </c>
      <c r="N341" s="23">
        <v>4517000</v>
      </c>
      <c r="O341" s="11">
        <v>6.7278000000000002</v>
      </c>
      <c r="P341" s="18">
        <v>-10.722899999999999</v>
      </c>
      <c r="Q341" s="18">
        <v>-7.0000000000000007E-2</v>
      </c>
      <c r="R341" s="18">
        <v>177.59700000000001</v>
      </c>
      <c r="S341" s="17">
        <v>7.7299999999999999E-3</v>
      </c>
      <c r="T341" s="4">
        <v>-1.2319999999999999E-2</v>
      </c>
    </row>
    <row r="342" spans="1:20" x14ac:dyDescent="0.3">
      <c r="A342" s="11">
        <v>-0.39</v>
      </c>
      <c r="B342" s="11">
        <v>1.3342000000000001</v>
      </c>
      <c r="C342" s="11">
        <v>0.16314999999999999</v>
      </c>
      <c r="D342" s="11">
        <v>0.16314999999999999</v>
      </c>
      <c r="E342" s="11">
        <v>0.60962000000000005</v>
      </c>
      <c r="F342" s="11">
        <v>1.1979</v>
      </c>
      <c r="G342" s="11">
        <v>-8.8800000000000004E-2</v>
      </c>
      <c r="H342" s="11">
        <v>1.1420999999999999</v>
      </c>
      <c r="I342" s="13">
        <v>1.026</v>
      </c>
      <c r="J342" s="11">
        <v>0.80006999999999995</v>
      </c>
      <c r="K342" s="11">
        <v>20</v>
      </c>
      <c r="L342" s="11">
        <v>45348.5</v>
      </c>
      <c r="M342" s="11">
        <v>1.2257</v>
      </c>
      <c r="N342" s="23">
        <v>7229000</v>
      </c>
      <c r="O342" s="11">
        <v>15.132</v>
      </c>
      <c r="P342" s="18">
        <v>-34.277299999999997</v>
      </c>
      <c r="Q342" s="18">
        <v>-7.0000000000000007E-2</v>
      </c>
      <c r="R342" s="18">
        <v>553.51499999999999</v>
      </c>
      <c r="S342" s="17">
        <v>6.79E-3</v>
      </c>
      <c r="T342" s="4">
        <v>-1.538E-2</v>
      </c>
    </row>
    <row r="343" spans="1:20" x14ac:dyDescent="0.3">
      <c r="A343" s="11">
        <v>-0.3846</v>
      </c>
      <c r="B343" s="11">
        <v>1.3823000000000001</v>
      </c>
      <c r="C343" s="11">
        <v>0.40743000000000001</v>
      </c>
      <c r="D343" s="11">
        <v>0.40743000000000001</v>
      </c>
      <c r="E343" s="11">
        <v>0.85563999999999996</v>
      </c>
      <c r="F343" s="11">
        <v>1.1596</v>
      </c>
      <c r="G343" s="11">
        <v>-0.1527</v>
      </c>
      <c r="H343" s="11">
        <v>1.1365000000000001</v>
      </c>
      <c r="I343" s="13">
        <v>1.026</v>
      </c>
      <c r="J343" s="11">
        <v>1.1997599999999999</v>
      </c>
      <c r="K343" s="11">
        <v>20</v>
      </c>
      <c r="L343" s="11">
        <v>102028</v>
      </c>
      <c r="M343" s="11">
        <v>1.2263200000000001</v>
      </c>
      <c r="N343" s="23">
        <v>10850000</v>
      </c>
      <c r="O343" s="11">
        <v>23.411300000000001</v>
      </c>
      <c r="P343" s="18">
        <v>-67.464299999999994</v>
      </c>
      <c r="Q343" s="18">
        <v>-7.0000000000000007E-2</v>
      </c>
      <c r="R343" s="18">
        <v>1035.21</v>
      </c>
      <c r="S343" s="17">
        <v>4.6699999999999997E-3</v>
      </c>
      <c r="T343" s="4">
        <v>-1.346E-2</v>
      </c>
    </row>
    <row r="344" spans="1:20" x14ac:dyDescent="0.3">
      <c r="A344" s="11">
        <v>-0.20280000000000001</v>
      </c>
      <c r="B344" s="11">
        <v>1.3938999999999999</v>
      </c>
      <c r="C344" s="11">
        <v>0.33063999999999999</v>
      </c>
      <c r="D344" s="11">
        <v>0.33063999999999999</v>
      </c>
      <c r="E344" s="11">
        <v>0.78742000000000001</v>
      </c>
      <c r="F344" s="11">
        <v>1.1967000000000001</v>
      </c>
      <c r="G344" s="11">
        <v>-0.1424</v>
      </c>
      <c r="H344" s="11">
        <v>1.0838000000000001</v>
      </c>
      <c r="I344" s="13">
        <v>1.026</v>
      </c>
      <c r="J344" s="11">
        <v>1.99997</v>
      </c>
      <c r="K344" s="11">
        <v>20</v>
      </c>
      <c r="L344" s="11">
        <v>283339</v>
      </c>
      <c r="M344" s="11">
        <v>1.2255499999999999</v>
      </c>
      <c r="N344" s="23">
        <v>18070000</v>
      </c>
      <c r="O344" s="11">
        <v>12.2638</v>
      </c>
      <c r="P344" s="18">
        <v>-111.184</v>
      </c>
      <c r="Q344" s="18">
        <v>-7.0000000000000007E-2</v>
      </c>
      <c r="R344" s="18">
        <v>1488.98</v>
      </c>
      <c r="S344" s="17">
        <v>8.8000000000000003E-4</v>
      </c>
      <c r="T344" s="4">
        <v>-7.9900000000000006E-3</v>
      </c>
    </row>
    <row r="345" spans="1:20" x14ac:dyDescent="0.3">
      <c r="A345" s="11">
        <v>-0.1363</v>
      </c>
      <c r="B345" s="11">
        <v>1.1718</v>
      </c>
      <c r="C345" s="11">
        <v>0.27762999999999999</v>
      </c>
      <c r="D345" s="11">
        <v>0.27762999999999999</v>
      </c>
      <c r="E345" s="11">
        <v>0.66168000000000005</v>
      </c>
      <c r="F345" s="11">
        <v>1.0062</v>
      </c>
      <c r="G345" s="11">
        <v>-0.13270000000000001</v>
      </c>
      <c r="H345" s="11">
        <v>1.0722</v>
      </c>
      <c r="I345" s="13">
        <v>1.026</v>
      </c>
      <c r="J345" s="11">
        <v>4</v>
      </c>
      <c r="K345" s="11">
        <v>20</v>
      </c>
      <c r="L345" s="11">
        <v>1133350</v>
      </c>
      <c r="M345" s="11">
        <v>1.2255100000000001</v>
      </c>
      <c r="N345" s="23">
        <v>36140000</v>
      </c>
      <c r="O345" s="11">
        <v>31.926100000000002</v>
      </c>
      <c r="P345" s="18">
        <v>-188.471</v>
      </c>
      <c r="Q345" s="18">
        <v>-7.0000000000000007E-2</v>
      </c>
      <c r="R345" s="18">
        <v>2820.35</v>
      </c>
      <c r="S345" s="17">
        <v>5.6999999999999998E-4</v>
      </c>
      <c r="T345" s="4">
        <v>-3.3800000000000002E-3</v>
      </c>
    </row>
    <row r="346" spans="1:20" x14ac:dyDescent="0.3">
      <c r="A346" s="11">
        <v>-0.12089999999999999</v>
      </c>
      <c r="B346" s="11">
        <v>1.0629999999999999</v>
      </c>
      <c r="C346" s="11">
        <v>0.26218000000000002</v>
      </c>
      <c r="D346" s="11">
        <v>0.26218000000000002</v>
      </c>
      <c r="E346" s="11">
        <v>0.60994000000000004</v>
      </c>
      <c r="F346" s="11">
        <v>0.90920000000000001</v>
      </c>
      <c r="G346" s="11">
        <v>-0.1246</v>
      </c>
      <c r="H346" s="11">
        <v>1.0711999999999999</v>
      </c>
      <c r="I346" s="13">
        <v>1.026</v>
      </c>
      <c r="J346" s="11">
        <v>5.9999900000000004</v>
      </c>
      <c r="K346" s="11">
        <v>20</v>
      </c>
      <c r="L346" s="11">
        <v>2550140</v>
      </c>
      <c r="M346" s="11">
        <v>1.22556</v>
      </c>
      <c r="N346" s="23">
        <v>54210000</v>
      </c>
      <c r="O346" s="11">
        <v>47.356099999999998</v>
      </c>
      <c r="P346" s="18">
        <v>-228.952</v>
      </c>
      <c r="Q346" s="18">
        <v>-7.0000000000000007E-2</v>
      </c>
      <c r="R346" s="18">
        <v>3590.89</v>
      </c>
      <c r="S346" s="17">
        <v>3.8000000000000002E-4</v>
      </c>
      <c r="T346" s="4">
        <v>-1.83E-3</v>
      </c>
    </row>
    <row r="347" spans="1:20" x14ac:dyDescent="0.3">
      <c r="A347" s="11">
        <v>-0.11210000000000001</v>
      </c>
      <c r="B347" s="11">
        <v>1.014</v>
      </c>
      <c r="C347" s="11">
        <v>0.25372</v>
      </c>
      <c r="D347" s="11">
        <v>0.25372</v>
      </c>
      <c r="E347" s="11">
        <v>0.58523999999999998</v>
      </c>
      <c r="F347" s="11">
        <v>0.86609999999999998</v>
      </c>
      <c r="G347" s="11">
        <v>-0.1193</v>
      </c>
      <c r="H347" s="11">
        <v>1.0699000000000001</v>
      </c>
      <c r="I347" s="13">
        <v>1.026</v>
      </c>
      <c r="J347" s="11">
        <v>7.9999900000000004</v>
      </c>
      <c r="K347" s="11">
        <v>20</v>
      </c>
      <c r="L347" s="11">
        <v>4533720</v>
      </c>
      <c r="M347" s="11">
        <v>1.2256</v>
      </c>
      <c r="N347" s="23">
        <v>72280000</v>
      </c>
      <c r="O347" s="11">
        <v>69.767399999999995</v>
      </c>
      <c r="P347" s="18">
        <v>-289.48899999999998</v>
      </c>
      <c r="Q347" s="18">
        <v>-7.0000000000000007E-2</v>
      </c>
      <c r="R347" s="18">
        <v>4667.66</v>
      </c>
      <c r="S347" s="17">
        <v>3.1E-4</v>
      </c>
      <c r="T347" s="4">
        <v>-1.2999999999999999E-3</v>
      </c>
    </row>
    <row r="348" spans="1:20" x14ac:dyDescent="0.3">
      <c r="A348" s="11">
        <v>-0.10680000000000001</v>
      </c>
      <c r="B348" s="11">
        <v>0.98870000000000002</v>
      </c>
      <c r="C348" s="11">
        <v>0.24881</v>
      </c>
      <c r="D348" s="11">
        <v>0.24881</v>
      </c>
      <c r="E348" s="11">
        <v>0.57196000000000002</v>
      </c>
      <c r="F348" s="11">
        <v>0.84399999999999997</v>
      </c>
      <c r="G348" s="11">
        <v>-0.1159</v>
      </c>
      <c r="H348" s="11">
        <v>1.0689</v>
      </c>
      <c r="I348" s="11">
        <v>1.026</v>
      </c>
      <c r="J348" s="11">
        <v>9.9999900000000004</v>
      </c>
      <c r="K348" s="11">
        <v>20</v>
      </c>
      <c r="L348" s="11">
        <v>7084090</v>
      </c>
      <c r="M348" s="11">
        <v>1.2256199999999999</v>
      </c>
      <c r="N348" s="23">
        <v>90350000</v>
      </c>
      <c r="O348" s="11">
        <v>94.285899999999998</v>
      </c>
      <c r="P348" s="18">
        <v>-374.06299999999999</v>
      </c>
      <c r="Q348" s="18">
        <v>-7.0000000000000007E-2</v>
      </c>
      <c r="R348" s="18">
        <v>6095.62</v>
      </c>
      <c r="S348" s="17">
        <v>2.7E-4</v>
      </c>
      <c r="T348" s="4">
        <v>-1.07E-3</v>
      </c>
    </row>
    <row r="350" spans="1:20" x14ac:dyDescent="0.3">
      <c r="I350" s="13"/>
    </row>
    <row r="351" spans="1:20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20"/>
    </row>
    <row r="352" spans="1:20" ht="23.4" x14ac:dyDescent="0.3">
      <c r="A352" s="27" t="s">
        <v>25</v>
      </c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</row>
    <row r="353" spans="1:20" ht="36" x14ac:dyDescent="0.3">
      <c r="A353" s="12" t="s">
        <v>31</v>
      </c>
      <c r="B353" s="12" t="s">
        <v>32</v>
      </c>
      <c r="C353" s="12" t="s">
        <v>33</v>
      </c>
      <c r="D353" s="12" t="s">
        <v>44</v>
      </c>
      <c r="E353" s="12" t="s">
        <v>34</v>
      </c>
      <c r="F353" s="12" t="s">
        <v>35</v>
      </c>
      <c r="G353" s="12" t="s">
        <v>36</v>
      </c>
      <c r="H353" s="12" t="s">
        <v>37</v>
      </c>
      <c r="I353" s="12" t="s">
        <v>38</v>
      </c>
      <c r="J353" s="12" t="s">
        <v>39</v>
      </c>
      <c r="K353" s="12" t="s">
        <v>40</v>
      </c>
      <c r="L353" s="12" t="s">
        <v>41</v>
      </c>
      <c r="M353" s="12" t="s">
        <v>42</v>
      </c>
      <c r="N353" s="12" t="s">
        <v>43</v>
      </c>
      <c r="O353" s="12" t="s">
        <v>45</v>
      </c>
      <c r="P353" s="16" t="s">
        <v>46</v>
      </c>
      <c r="Q353" s="16" t="s">
        <v>47</v>
      </c>
      <c r="R353" s="16" t="s">
        <v>48</v>
      </c>
      <c r="S353" s="16" t="s">
        <v>51</v>
      </c>
      <c r="T353" s="4" t="s">
        <v>52</v>
      </c>
    </row>
    <row r="354" spans="1:20" x14ac:dyDescent="0.3">
      <c r="A354" s="11">
        <v>5.9999999999999995E-4</v>
      </c>
      <c r="B354" s="11">
        <v>0</v>
      </c>
      <c r="C354" s="11">
        <v>0.24406</v>
      </c>
      <c r="D354" s="11">
        <v>0.24406</v>
      </c>
      <c r="E354" s="11">
        <v>0.24406</v>
      </c>
      <c r="F354" s="11">
        <v>0</v>
      </c>
      <c r="G354" s="11">
        <v>-0.27</v>
      </c>
      <c r="H354" s="11">
        <v>9.8193000000000001</v>
      </c>
      <c r="I354" s="13">
        <v>1.026</v>
      </c>
      <c r="J354" s="11">
        <v>0.3</v>
      </c>
      <c r="K354" s="11">
        <v>0</v>
      </c>
      <c r="L354" s="11">
        <v>6374.73</v>
      </c>
      <c r="M354" s="11">
        <v>1.22543</v>
      </c>
      <c r="N354" s="23">
        <v>2710000</v>
      </c>
      <c r="O354" s="11">
        <v>-2.5768</v>
      </c>
      <c r="P354" s="18">
        <v>5.6082999999999998</v>
      </c>
      <c r="Q354" s="18">
        <v>-7.0000000000000007E-2</v>
      </c>
      <c r="R354" s="18">
        <v>-82.170900000000003</v>
      </c>
      <c r="S354" s="17">
        <v>-8.2299999999999995E-3</v>
      </c>
      <c r="T354" s="4">
        <v>1.7899999999999999E-2</v>
      </c>
    </row>
    <row r="355" spans="1:20" x14ac:dyDescent="0.3">
      <c r="A355" s="11">
        <v>-1.1000000000000001E-3</v>
      </c>
      <c r="B355" s="11">
        <v>-1E-4</v>
      </c>
      <c r="C355" s="11">
        <v>0.25724000000000002</v>
      </c>
      <c r="D355" s="11">
        <v>0.25724000000000002</v>
      </c>
      <c r="E355" s="11">
        <v>0.25724000000000002</v>
      </c>
      <c r="F355" s="11">
        <v>-1E-4</v>
      </c>
      <c r="G355" s="11">
        <v>-0.28079999999999999</v>
      </c>
      <c r="H355" s="11">
        <v>-5.0445000000000002</v>
      </c>
      <c r="I355" s="13">
        <v>1.026</v>
      </c>
      <c r="J355" s="11">
        <v>0.5</v>
      </c>
      <c r="K355" s="11">
        <v>0</v>
      </c>
      <c r="L355" s="11">
        <v>17707.7</v>
      </c>
      <c r="M355" s="11">
        <v>1.22543</v>
      </c>
      <c r="N355" s="23">
        <v>4517000</v>
      </c>
      <c r="O355" s="11">
        <v>-7.4359000000000002</v>
      </c>
      <c r="P355" s="18">
        <v>16.0244</v>
      </c>
      <c r="Q355" s="18">
        <v>-7.0000000000000007E-2</v>
      </c>
      <c r="R355" s="18">
        <v>-238.16499999999999</v>
      </c>
      <c r="S355" s="17">
        <v>-8.5500000000000003E-3</v>
      </c>
      <c r="T355" s="4">
        <v>1.8409999999999999E-2</v>
      </c>
    </row>
    <row r="356" spans="1:20" x14ac:dyDescent="0.3">
      <c r="A356" s="11">
        <v>2.0000000000000001E-4</v>
      </c>
      <c r="B356" s="11">
        <v>-2.9999999999999997E-4</v>
      </c>
      <c r="C356" s="11">
        <v>0.34009</v>
      </c>
      <c r="D356" s="11">
        <v>0.34009</v>
      </c>
      <c r="E356" s="11">
        <v>0.34009</v>
      </c>
      <c r="F356" s="11">
        <v>-2.9999999999999997E-4</v>
      </c>
      <c r="G356" s="11">
        <v>-0.33339999999999997</v>
      </c>
      <c r="H356" s="11">
        <v>1.2152000000000001</v>
      </c>
      <c r="I356" s="13">
        <v>1.026</v>
      </c>
      <c r="J356" s="11">
        <v>0.80001999999999995</v>
      </c>
      <c r="K356" s="11">
        <v>0</v>
      </c>
      <c r="L356" s="11">
        <v>45334.2</v>
      </c>
      <c r="M356" s="11">
        <v>1.2254499999999999</v>
      </c>
      <c r="N356" s="23">
        <v>7227000</v>
      </c>
      <c r="O356" s="11">
        <v>-17.663499999999999</v>
      </c>
      <c r="P356" s="18">
        <v>48.434100000000001</v>
      </c>
      <c r="Q356" s="18">
        <v>-7.0000000000000007E-2</v>
      </c>
      <c r="R356" s="18">
        <v>-721.92600000000004</v>
      </c>
      <c r="S356" s="17">
        <v>-7.9299999999999995E-3</v>
      </c>
      <c r="T356" s="4">
        <v>2.1739999999999999E-2</v>
      </c>
    </row>
    <row r="357" spans="1:20" x14ac:dyDescent="0.3">
      <c r="A357" s="11">
        <v>2.9999999999999997E-4</v>
      </c>
      <c r="B357" s="11">
        <v>-2.0000000000000001E-4</v>
      </c>
      <c r="C357" s="11">
        <v>0.54986999999999997</v>
      </c>
      <c r="D357" s="11">
        <v>0.54986999999999997</v>
      </c>
      <c r="E357" s="11">
        <v>0.54986999999999997</v>
      </c>
      <c r="F357" s="11">
        <v>-2.0000000000000001E-4</v>
      </c>
      <c r="G357" s="11">
        <v>-0.30649999999999999</v>
      </c>
      <c r="H357" s="11">
        <v>1.782</v>
      </c>
      <c r="I357" s="13">
        <v>1.026</v>
      </c>
      <c r="J357" s="11">
        <v>1.1996199999999999</v>
      </c>
      <c r="K357" s="11">
        <v>0</v>
      </c>
      <c r="L357" s="11">
        <v>102076</v>
      </c>
      <c r="M357" s="11">
        <v>1.22719</v>
      </c>
      <c r="N357" s="23">
        <v>10850000</v>
      </c>
      <c r="O357" s="11">
        <v>-21.495200000000001</v>
      </c>
      <c r="P357" s="18">
        <v>103.661</v>
      </c>
      <c r="Q357" s="18">
        <v>-7.0000000000000007E-2</v>
      </c>
      <c r="R357" s="18">
        <v>-1468.65</v>
      </c>
      <c r="S357" s="17">
        <v>-4.2900000000000004E-3</v>
      </c>
      <c r="T357" s="4">
        <v>2.0660000000000001E-2</v>
      </c>
    </row>
    <row r="358" spans="1:20" x14ac:dyDescent="0.3">
      <c r="A358" s="11">
        <v>0</v>
      </c>
      <c r="B358" s="11">
        <v>-1E-4</v>
      </c>
      <c r="C358" s="11">
        <v>0.40583999999999998</v>
      </c>
      <c r="D358" s="11">
        <v>0.40583999999999998</v>
      </c>
      <c r="E358" s="11">
        <v>0.40583999999999998</v>
      </c>
      <c r="F358" s="11">
        <v>-1E-4</v>
      </c>
      <c r="G358" s="11">
        <v>-0.2301</v>
      </c>
      <c r="H358" s="11">
        <v>1.0821000000000001</v>
      </c>
      <c r="I358" s="13">
        <v>1.026</v>
      </c>
      <c r="J358" s="11">
        <v>1.99996</v>
      </c>
      <c r="K358" s="11">
        <v>0</v>
      </c>
      <c r="L358" s="11">
        <v>283352</v>
      </c>
      <c r="M358" s="11">
        <v>1.2256199999999999</v>
      </c>
      <c r="N358" s="23">
        <v>18070000</v>
      </c>
      <c r="O358" s="11">
        <v>-33.389800000000001</v>
      </c>
      <c r="P358" s="18">
        <v>209.16399999999999</v>
      </c>
      <c r="Q358" s="18">
        <v>-7.0000000000000007E-2</v>
      </c>
      <c r="R358" s="18">
        <v>-3089.8</v>
      </c>
      <c r="S358" s="17">
        <v>-2.3999999999999998E-3</v>
      </c>
      <c r="T358" s="4">
        <v>1.502E-2</v>
      </c>
    </row>
    <row r="359" spans="1:20" x14ac:dyDescent="0.3">
      <c r="A359" s="11">
        <v>1E-4</v>
      </c>
      <c r="B359" s="11">
        <v>0</v>
      </c>
      <c r="C359" s="11">
        <v>0.24457000000000001</v>
      </c>
      <c r="D359" s="11">
        <v>0.24457000000000001</v>
      </c>
      <c r="E359" s="11">
        <v>0.24457000000000001</v>
      </c>
      <c r="F359" s="11">
        <v>0</v>
      </c>
      <c r="G359" s="11">
        <v>-0.1573</v>
      </c>
      <c r="H359" s="11">
        <v>6.0255000000000001</v>
      </c>
      <c r="I359" s="13">
        <v>1.026</v>
      </c>
      <c r="J359" s="11">
        <v>4</v>
      </c>
      <c r="K359" s="11">
        <v>0</v>
      </c>
      <c r="L359" s="11">
        <v>1133290</v>
      </c>
      <c r="M359" s="11">
        <v>1.2254400000000001</v>
      </c>
      <c r="N359" s="23">
        <v>36140000</v>
      </c>
      <c r="O359" s="11">
        <v>-88.563800000000001</v>
      </c>
      <c r="P359" s="18">
        <v>582.952</v>
      </c>
      <c r="Q359" s="18">
        <v>-7.0000000000000007E-2</v>
      </c>
      <c r="R359" s="18">
        <v>-8395.75</v>
      </c>
      <c r="S359" s="17">
        <v>-1.5900000000000001E-3</v>
      </c>
      <c r="T359" s="4">
        <v>1.047E-2</v>
      </c>
    </row>
    <row r="360" spans="1:20" x14ac:dyDescent="0.3">
      <c r="A360" s="11">
        <v>0</v>
      </c>
      <c r="B360" s="11">
        <v>1E-4</v>
      </c>
      <c r="C360" s="11">
        <v>0.21065999999999999</v>
      </c>
      <c r="D360" s="11">
        <v>0.21065999999999999</v>
      </c>
      <c r="E360" s="11">
        <v>0.21065999999999999</v>
      </c>
      <c r="F360" s="11">
        <v>1E-4</v>
      </c>
      <c r="G360" s="11">
        <v>-0.14349999999999999</v>
      </c>
      <c r="H360" s="11">
        <v>1.0565</v>
      </c>
      <c r="I360" s="13">
        <v>1.026</v>
      </c>
      <c r="J360" s="11">
        <v>6</v>
      </c>
      <c r="K360" s="11">
        <v>0</v>
      </c>
      <c r="L360" s="11">
        <v>2549880</v>
      </c>
      <c r="M360" s="11">
        <v>1.22543</v>
      </c>
      <c r="N360" s="23">
        <v>54200000</v>
      </c>
      <c r="O360" s="11">
        <v>-193.34399999999999</v>
      </c>
      <c r="P360" s="18">
        <v>1214.48</v>
      </c>
      <c r="Q360" s="18">
        <v>-7.0000000000000007E-2</v>
      </c>
      <c r="R360" s="18">
        <v>-17130.599999999999</v>
      </c>
      <c r="S360" s="17">
        <v>-1.5399999999999999E-3</v>
      </c>
      <c r="T360" s="4">
        <v>9.6900000000000007E-3</v>
      </c>
    </row>
    <row r="361" spans="1:20" x14ac:dyDescent="0.3">
      <c r="A361" s="11">
        <v>0</v>
      </c>
      <c r="B361" s="11">
        <v>1E-4</v>
      </c>
      <c r="C361" s="11">
        <v>0.19728999999999999</v>
      </c>
      <c r="D361" s="11">
        <v>0.19728999999999999</v>
      </c>
      <c r="E361" s="11">
        <v>0.19728999999999999</v>
      </c>
      <c r="F361" s="11">
        <v>1E-4</v>
      </c>
      <c r="G361" s="11">
        <v>-0.1396</v>
      </c>
      <c r="H361" s="11">
        <v>1.0167999999999999</v>
      </c>
      <c r="I361" s="13">
        <v>1.026</v>
      </c>
      <c r="J361" s="11">
        <v>8</v>
      </c>
      <c r="K361" s="11">
        <v>0</v>
      </c>
      <c r="L361" s="11">
        <v>4533100</v>
      </c>
      <c r="M361" s="11">
        <v>1.22543</v>
      </c>
      <c r="N361" s="23">
        <v>72270000</v>
      </c>
      <c r="O361" s="11">
        <v>-348.59399999999999</v>
      </c>
      <c r="P361" s="18">
        <v>2114</v>
      </c>
      <c r="Q361" s="18">
        <v>-7.0000000000000007E-2</v>
      </c>
      <c r="R361" s="18">
        <v>-29544.400000000001</v>
      </c>
      <c r="S361" s="17">
        <v>-1.56E-3</v>
      </c>
      <c r="T361" s="4">
        <v>9.4900000000000002E-3</v>
      </c>
    </row>
    <row r="362" spans="1:20" x14ac:dyDescent="0.3">
      <c r="A362" s="11">
        <v>-4.0000000000000002E-4</v>
      </c>
      <c r="B362" s="11">
        <v>2.0000000000000001E-4</v>
      </c>
      <c r="C362" s="11">
        <v>0.18920000000000001</v>
      </c>
      <c r="D362" s="11">
        <v>0.18920000000000001</v>
      </c>
      <c r="E362" s="11">
        <v>0.18920000000000001</v>
      </c>
      <c r="F362" s="11">
        <v>2.0000000000000001E-4</v>
      </c>
      <c r="G362" s="11">
        <v>-0.1363</v>
      </c>
      <c r="H362" s="11">
        <v>1.9326000000000001</v>
      </c>
      <c r="I362" s="11">
        <v>1.026</v>
      </c>
      <c r="J362" s="11">
        <v>10</v>
      </c>
      <c r="K362" s="11">
        <v>0</v>
      </c>
      <c r="L362" s="11">
        <v>7082970</v>
      </c>
      <c r="M362" s="11">
        <v>1.22543</v>
      </c>
      <c r="N362" s="23">
        <v>90340000</v>
      </c>
      <c r="O362" s="11">
        <v>-547.41200000000003</v>
      </c>
      <c r="P362" s="18">
        <v>3243.11</v>
      </c>
      <c r="Q362" s="18">
        <v>-7.0000000000000007E-2</v>
      </c>
      <c r="R362" s="18">
        <v>-44916.2</v>
      </c>
      <c r="S362" s="17">
        <v>-1.57E-3</v>
      </c>
      <c r="T362" s="4">
        <v>9.3200000000000002E-3</v>
      </c>
    </row>
    <row r="366" spans="1:20" ht="36" x14ac:dyDescent="0.3">
      <c r="A366" s="12" t="s">
        <v>31</v>
      </c>
      <c r="B366" s="12" t="s">
        <v>32</v>
      </c>
      <c r="C366" s="12" t="s">
        <v>33</v>
      </c>
      <c r="D366" s="12" t="s">
        <v>44</v>
      </c>
      <c r="E366" s="12" t="s">
        <v>34</v>
      </c>
      <c r="F366" s="12" t="s">
        <v>35</v>
      </c>
      <c r="G366" s="12" t="s">
        <v>36</v>
      </c>
      <c r="H366" s="12" t="s">
        <v>37</v>
      </c>
      <c r="I366" s="12" t="s">
        <v>38</v>
      </c>
      <c r="J366" s="12" t="s">
        <v>39</v>
      </c>
      <c r="K366" s="12" t="s">
        <v>40</v>
      </c>
      <c r="L366" s="12" t="s">
        <v>41</v>
      </c>
      <c r="M366" s="12" t="s">
        <v>42</v>
      </c>
      <c r="N366" s="12" t="s">
        <v>43</v>
      </c>
      <c r="O366" s="12" t="s">
        <v>45</v>
      </c>
      <c r="P366" s="16" t="s">
        <v>46</v>
      </c>
      <c r="Q366" s="16" t="s">
        <v>47</v>
      </c>
      <c r="R366" s="16" t="s">
        <v>48</v>
      </c>
      <c r="S366" s="16" t="s">
        <v>51</v>
      </c>
      <c r="T366" s="4" t="s">
        <v>52</v>
      </c>
    </row>
    <row r="367" spans="1:20" x14ac:dyDescent="0.3">
      <c r="A367" s="11">
        <v>-3.4599999999999999E-2</v>
      </c>
      <c r="B367" s="11">
        <v>0.13189999999999999</v>
      </c>
      <c r="C367" s="11">
        <v>0.24848999999999999</v>
      </c>
      <c r="D367" s="11">
        <v>0.24848999999999999</v>
      </c>
      <c r="E367" s="11">
        <v>0.25294</v>
      </c>
      <c r="F367" s="11">
        <v>0.1232</v>
      </c>
      <c r="G367" s="11">
        <v>-0.26950000000000002</v>
      </c>
      <c r="H367" s="11">
        <v>1.1301000000000001</v>
      </c>
      <c r="I367" s="11">
        <v>1.026</v>
      </c>
      <c r="J367" s="11">
        <v>0.3</v>
      </c>
      <c r="K367" s="11">
        <v>2</v>
      </c>
      <c r="L367" s="11">
        <v>6374.74</v>
      </c>
      <c r="M367" s="11">
        <v>1.22543</v>
      </c>
      <c r="N367" s="23">
        <v>2710000</v>
      </c>
      <c r="O367" s="11">
        <v>-2.1587000000000001</v>
      </c>
      <c r="P367" s="18">
        <v>4.7691999999999997</v>
      </c>
      <c r="Q367" s="18">
        <v>-7.0000000000000007E-2</v>
      </c>
      <c r="R367" s="18">
        <v>-69.383600000000001</v>
      </c>
      <c r="S367" s="17">
        <v>-6.8900000000000003E-3</v>
      </c>
      <c r="T367" s="4">
        <v>1.5219999999999999E-2</v>
      </c>
    </row>
    <row r="368" spans="1:20" x14ac:dyDescent="0.3">
      <c r="A368" s="11">
        <v>-4.02E-2</v>
      </c>
      <c r="B368" s="11">
        <v>0.13639999999999999</v>
      </c>
      <c r="C368" s="11">
        <v>0.26162999999999997</v>
      </c>
      <c r="D368" s="11">
        <v>0.26162999999999997</v>
      </c>
      <c r="E368" s="11">
        <v>0.26623000000000002</v>
      </c>
      <c r="F368" s="11">
        <v>0.12720000000000001</v>
      </c>
      <c r="G368" s="11">
        <v>-0.27939999999999998</v>
      </c>
      <c r="H368" s="11">
        <v>1.143</v>
      </c>
      <c r="I368" s="13">
        <v>1.026</v>
      </c>
      <c r="J368" s="11">
        <v>0.5</v>
      </c>
      <c r="K368" s="11">
        <v>2</v>
      </c>
      <c r="L368" s="11">
        <v>17707.7</v>
      </c>
      <c r="M368" s="11">
        <v>1.22543</v>
      </c>
      <c r="N368" s="23">
        <v>4517000</v>
      </c>
      <c r="O368" s="11">
        <v>-6.1816000000000004</v>
      </c>
      <c r="P368" s="18">
        <v>13.7403</v>
      </c>
      <c r="Q368" s="18">
        <v>-7.0000000000000007E-2</v>
      </c>
      <c r="R368" s="18">
        <v>-201.03800000000001</v>
      </c>
      <c r="S368" s="17">
        <v>-7.1000000000000004E-3</v>
      </c>
      <c r="T368" s="4">
        <v>1.5789999999999998E-2</v>
      </c>
    </row>
    <row r="369" spans="1:20" x14ac:dyDescent="0.3">
      <c r="A369" s="11">
        <v>-5.1299999999999998E-2</v>
      </c>
      <c r="B369" s="11">
        <v>0.14399999999999999</v>
      </c>
      <c r="C369" s="11">
        <v>0.33765000000000001</v>
      </c>
      <c r="D369" s="11">
        <v>0.33765000000000001</v>
      </c>
      <c r="E369" s="11">
        <v>0.34247</v>
      </c>
      <c r="F369" s="11">
        <v>0.13220000000000001</v>
      </c>
      <c r="G369" s="11">
        <v>-0.32590000000000002</v>
      </c>
      <c r="H369" s="11">
        <v>1.1675</v>
      </c>
      <c r="I369" s="13">
        <v>1.026</v>
      </c>
      <c r="J369" s="11">
        <v>0.80001999999999995</v>
      </c>
      <c r="K369" s="11">
        <v>2</v>
      </c>
      <c r="L369" s="11">
        <v>45334.3</v>
      </c>
      <c r="M369" s="11">
        <v>1.2254499999999999</v>
      </c>
      <c r="N369" s="23">
        <v>7227000</v>
      </c>
      <c r="O369" s="11">
        <v>-14.5389</v>
      </c>
      <c r="P369" s="18">
        <v>42.573799999999999</v>
      </c>
      <c r="Q369" s="18">
        <v>-7.0000000000000007E-2</v>
      </c>
      <c r="R369" s="18">
        <v>-618.54200000000003</v>
      </c>
      <c r="S369" s="17">
        <v>-6.5300000000000002E-3</v>
      </c>
      <c r="T369" s="4">
        <v>1.9109999999999999E-2</v>
      </c>
    </row>
    <row r="370" spans="1:20" x14ac:dyDescent="0.3">
      <c r="A370" s="11">
        <v>-5.6800000000000003E-2</v>
      </c>
      <c r="B370" s="11">
        <v>0.14219999999999999</v>
      </c>
      <c r="C370" s="11">
        <v>0.54776000000000002</v>
      </c>
      <c r="D370" s="11">
        <v>0.54776000000000002</v>
      </c>
      <c r="E370" s="11">
        <v>0.55239000000000005</v>
      </c>
      <c r="F370" s="11">
        <v>0.123</v>
      </c>
      <c r="G370" s="11">
        <v>-0.3044</v>
      </c>
      <c r="H370" s="11">
        <v>1.1846000000000001</v>
      </c>
      <c r="I370" s="13">
        <v>1.026</v>
      </c>
      <c r="J370" s="11">
        <v>1.1995499999999999</v>
      </c>
      <c r="K370" s="11">
        <v>2</v>
      </c>
      <c r="L370" s="11">
        <v>102085</v>
      </c>
      <c r="M370" s="11">
        <v>1.22742</v>
      </c>
      <c r="N370" s="23">
        <v>10850000</v>
      </c>
      <c r="O370" s="11">
        <v>-17.495200000000001</v>
      </c>
      <c r="P370" s="18">
        <v>85.796800000000005</v>
      </c>
      <c r="Q370" s="18">
        <v>-7.0000000000000007E-2</v>
      </c>
      <c r="R370" s="18">
        <v>-1200.06</v>
      </c>
      <c r="S370" s="17">
        <v>-3.49E-3</v>
      </c>
      <c r="T370" s="4">
        <v>1.7100000000000001E-2</v>
      </c>
    </row>
    <row r="371" spans="1:20" x14ac:dyDescent="0.3">
      <c r="A371" s="11">
        <v>-2.9399999999999999E-2</v>
      </c>
      <c r="B371" s="11">
        <v>0.11169999999999999</v>
      </c>
      <c r="C371" s="11">
        <v>0.40418999999999999</v>
      </c>
      <c r="D371" s="11">
        <v>0.40418999999999999</v>
      </c>
      <c r="E371" s="11">
        <v>0.40783999999999998</v>
      </c>
      <c r="F371" s="11">
        <v>9.7500000000000003E-2</v>
      </c>
      <c r="G371" s="11">
        <v>-0.23</v>
      </c>
      <c r="H371" s="11">
        <v>1.1306</v>
      </c>
      <c r="I371" s="13">
        <v>1.026</v>
      </c>
      <c r="J371" s="11">
        <v>1.99996</v>
      </c>
      <c r="K371" s="11">
        <v>2</v>
      </c>
      <c r="L371" s="11">
        <v>283352</v>
      </c>
      <c r="M371" s="11">
        <v>1.2256199999999999</v>
      </c>
      <c r="N371" s="23">
        <v>18070000</v>
      </c>
      <c r="O371" s="11">
        <v>-26.2318</v>
      </c>
      <c r="P371" s="18">
        <v>178.227</v>
      </c>
      <c r="Q371" s="18">
        <v>-7.0000000000000007E-2</v>
      </c>
      <c r="R371" s="18">
        <v>-2571.84</v>
      </c>
      <c r="S371" s="17">
        <v>-1.8799999999999999E-3</v>
      </c>
      <c r="T371" s="4">
        <v>1.2800000000000001E-2</v>
      </c>
    </row>
    <row r="372" spans="1:20" x14ac:dyDescent="0.3">
      <c r="A372" s="11">
        <v>-2.2700000000000001E-2</v>
      </c>
      <c r="B372" s="11">
        <v>9.7100000000000006E-2</v>
      </c>
      <c r="C372" s="11">
        <v>0.24628</v>
      </c>
      <c r="D372" s="11">
        <v>0.24628</v>
      </c>
      <c r="E372" s="11">
        <v>0.24951999999999999</v>
      </c>
      <c r="F372" s="11">
        <v>8.8499999999999995E-2</v>
      </c>
      <c r="G372" s="11">
        <v>-0.1585</v>
      </c>
      <c r="H372" s="11">
        <v>1.1187</v>
      </c>
      <c r="I372" s="13">
        <v>1.026</v>
      </c>
      <c r="J372" s="11">
        <v>4</v>
      </c>
      <c r="K372" s="11">
        <v>2</v>
      </c>
      <c r="L372" s="11">
        <v>1133290</v>
      </c>
      <c r="M372" s="11">
        <v>1.2254400000000001</v>
      </c>
      <c r="N372" s="23">
        <v>36140000</v>
      </c>
      <c r="O372" s="11">
        <v>-63.4786</v>
      </c>
      <c r="P372" s="18">
        <v>475.57100000000003</v>
      </c>
      <c r="Q372" s="18">
        <v>-7.0000000000000007E-2</v>
      </c>
      <c r="R372" s="18">
        <v>-6633.16</v>
      </c>
      <c r="S372" s="17">
        <v>-1.14E-3</v>
      </c>
      <c r="T372" s="4">
        <v>8.5400000000000007E-3</v>
      </c>
    </row>
    <row r="373" spans="1:20" x14ac:dyDescent="0.3">
      <c r="A373" s="11">
        <v>-2.87E-2</v>
      </c>
      <c r="B373" s="11">
        <v>9.35E-2</v>
      </c>
      <c r="C373" s="11">
        <v>0.21426999999999999</v>
      </c>
      <c r="D373" s="11">
        <v>0.21426999999999999</v>
      </c>
      <c r="E373" s="11">
        <v>0.21740999999999999</v>
      </c>
      <c r="F373" s="11">
        <v>8.5900000000000004E-2</v>
      </c>
      <c r="G373" s="11">
        <v>-0.14499999999999999</v>
      </c>
      <c r="H373" s="11">
        <v>1.1480999999999999</v>
      </c>
      <c r="I373" s="13">
        <v>1.026</v>
      </c>
      <c r="J373" s="11">
        <v>6</v>
      </c>
      <c r="K373" s="11">
        <v>2</v>
      </c>
      <c r="L373" s="11">
        <v>2549880</v>
      </c>
      <c r="M373" s="11">
        <v>1.22543</v>
      </c>
      <c r="N373" s="23">
        <v>54200000</v>
      </c>
      <c r="O373" s="11">
        <v>-124.836</v>
      </c>
      <c r="P373" s="18">
        <v>962.245</v>
      </c>
      <c r="Q373" s="18">
        <v>-7.0000000000000007E-2</v>
      </c>
      <c r="R373" s="18">
        <v>-12899.8</v>
      </c>
      <c r="S373" s="17">
        <v>-1E-3</v>
      </c>
      <c r="T373" s="4">
        <v>7.6800000000000002E-3</v>
      </c>
    </row>
    <row r="374" spans="1:20" x14ac:dyDescent="0.3">
      <c r="A374" s="11">
        <v>-3.2800000000000003E-2</v>
      </c>
      <c r="B374" s="11">
        <v>9.01E-2</v>
      </c>
      <c r="C374" s="11">
        <v>0.20008999999999999</v>
      </c>
      <c r="D374" s="11">
        <v>0.20008999999999999</v>
      </c>
      <c r="E374" s="11">
        <v>0.20311000000000001</v>
      </c>
      <c r="F374" s="11">
        <v>8.3000000000000004E-2</v>
      </c>
      <c r="G374" s="11">
        <v>-0.1401</v>
      </c>
      <c r="H374" s="11">
        <v>1.1706000000000001</v>
      </c>
      <c r="I374" s="13">
        <v>1.026</v>
      </c>
      <c r="J374" s="11">
        <v>8</v>
      </c>
      <c r="K374" s="11">
        <v>2</v>
      </c>
      <c r="L374" s="11">
        <v>4533110</v>
      </c>
      <c r="M374" s="11">
        <v>1.22543</v>
      </c>
      <c r="N374" s="23">
        <v>72270000</v>
      </c>
      <c r="O374" s="11">
        <v>-182.24199999999999</v>
      </c>
      <c r="P374" s="18">
        <v>1711.08</v>
      </c>
      <c r="Q374" s="18">
        <v>-7.0000000000000007E-2</v>
      </c>
      <c r="R374" s="18">
        <v>-21818.2</v>
      </c>
      <c r="S374" s="17">
        <v>-8.1999999999999998E-4</v>
      </c>
      <c r="T374" s="4">
        <v>7.6800000000000002E-3</v>
      </c>
    </row>
    <row r="375" spans="1:20" x14ac:dyDescent="0.3">
      <c r="A375" s="11">
        <v>-2.9899999999999999E-2</v>
      </c>
      <c r="B375" s="11">
        <v>8.4500000000000006E-2</v>
      </c>
      <c r="C375" s="11">
        <v>0.19202</v>
      </c>
      <c r="D375" s="11">
        <v>0.19202</v>
      </c>
      <c r="E375" s="11">
        <v>0.19485</v>
      </c>
      <c r="F375" s="11">
        <v>7.7700000000000005E-2</v>
      </c>
      <c r="G375" s="11">
        <v>-0.1366</v>
      </c>
      <c r="H375" s="11">
        <v>1.1665000000000001</v>
      </c>
      <c r="I375" s="11">
        <v>1.026</v>
      </c>
      <c r="J375" s="11">
        <v>10</v>
      </c>
      <c r="K375" s="11">
        <v>2</v>
      </c>
      <c r="L375" s="11">
        <v>7082980</v>
      </c>
      <c r="M375" s="11">
        <v>1.22543</v>
      </c>
      <c r="N375" s="23">
        <v>90340000</v>
      </c>
      <c r="O375" s="11">
        <v>-241.465</v>
      </c>
      <c r="P375" s="18">
        <v>2701.97</v>
      </c>
      <c r="Q375" s="18">
        <v>-7.0000000000000007E-2</v>
      </c>
      <c r="R375" s="18">
        <v>-33466.1</v>
      </c>
      <c r="S375" s="17">
        <v>-6.8999999999999997E-4</v>
      </c>
      <c r="T375" s="4">
        <v>7.7600000000000004E-3</v>
      </c>
    </row>
    <row r="379" spans="1:20" ht="36" x14ac:dyDescent="0.3">
      <c r="A379" s="12" t="s">
        <v>31</v>
      </c>
      <c r="B379" s="12" t="s">
        <v>32</v>
      </c>
      <c r="C379" s="12" t="s">
        <v>33</v>
      </c>
      <c r="D379" s="12" t="s">
        <v>44</v>
      </c>
      <c r="E379" s="12" t="s">
        <v>34</v>
      </c>
      <c r="F379" s="12" t="s">
        <v>35</v>
      </c>
      <c r="G379" s="12" t="s">
        <v>36</v>
      </c>
      <c r="H379" s="12" t="s">
        <v>37</v>
      </c>
      <c r="I379" s="12" t="s">
        <v>38</v>
      </c>
      <c r="J379" s="12" t="s">
        <v>39</v>
      </c>
      <c r="K379" s="12" t="s">
        <v>40</v>
      </c>
      <c r="L379" s="12" t="s">
        <v>41</v>
      </c>
      <c r="M379" s="12" t="s">
        <v>42</v>
      </c>
      <c r="N379" s="12" t="s">
        <v>43</v>
      </c>
      <c r="O379" s="12" t="s">
        <v>45</v>
      </c>
      <c r="P379" s="16" t="s">
        <v>46</v>
      </c>
      <c r="Q379" s="16" t="s">
        <v>47</v>
      </c>
      <c r="R379" s="16" t="s">
        <v>48</v>
      </c>
      <c r="S379" s="16" t="s">
        <v>51</v>
      </c>
      <c r="T379" s="4" t="s">
        <v>52</v>
      </c>
    </row>
    <row r="380" spans="1:20" x14ac:dyDescent="0.3">
      <c r="A380" s="11">
        <v>-7.22E-2</v>
      </c>
      <c r="B380" s="11">
        <v>0.26240000000000002</v>
      </c>
      <c r="C380" s="11">
        <v>0.24826999999999999</v>
      </c>
      <c r="D380" s="11">
        <v>0.24826999999999999</v>
      </c>
      <c r="E380" s="11">
        <v>0.26596999999999998</v>
      </c>
      <c r="F380" s="11">
        <v>0.24440000000000001</v>
      </c>
      <c r="G380" s="11">
        <v>-0.26769999999999999</v>
      </c>
      <c r="H380" s="11">
        <v>1.1352</v>
      </c>
      <c r="I380" s="11">
        <v>1.026</v>
      </c>
      <c r="J380" s="11">
        <v>0.3</v>
      </c>
      <c r="K380" s="11">
        <v>4</v>
      </c>
      <c r="L380" s="11">
        <v>6374.74</v>
      </c>
      <c r="M380" s="11">
        <v>1.22543</v>
      </c>
      <c r="N380" s="23">
        <v>2710000</v>
      </c>
      <c r="O380" s="11">
        <v>-1.7415</v>
      </c>
      <c r="P380" s="18">
        <v>3.9247000000000001</v>
      </c>
      <c r="Q380" s="18">
        <v>-7.0000000000000007E-2</v>
      </c>
      <c r="R380" s="18">
        <v>-56.664700000000003</v>
      </c>
      <c r="S380" s="17">
        <v>-5.5599999999999998E-3</v>
      </c>
      <c r="T380" s="4">
        <v>1.2529999999999999E-2</v>
      </c>
    </row>
    <row r="381" spans="1:20" x14ac:dyDescent="0.3">
      <c r="A381" s="11">
        <v>-8.09E-2</v>
      </c>
      <c r="B381" s="11">
        <v>0.27100000000000002</v>
      </c>
      <c r="C381" s="11">
        <v>0.26439000000000001</v>
      </c>
      <c r="D381" s="11">
        <v>0.26439000000000001</v>
      </c>
      <c r="E381" s="11">
        <v>0.28265000000000001</v>
      </c>
      <c r="F381" s="11">
        <v>0.25190000000000001</v>
      </c>
      <c r="G381" s="11">
        <v>-0.27600000000000002</v>
      </c>
      <c r="H381" s="11">
        <v>1.1445000000000001</v>
      </c>
      <c r="I381" s="11">
        <v>1.026</v>
      </c>
      <c r="J381" s="11">
        <v>0.5</v>
      </c>
      <c r="K381" s="11">
        <v>4</v>
      </c>
      <c r="L381" s="11">
        <v>17707.7</v>
      </c>
      <c r="M381" s="11">
        <v>1.22543</v>
      </c>
      <c r="N381" s="23">
        <v>4517000</v>
      </c>
      <c r="O381" s="11">
        <v>-4.9481999999999999</v>
      </c>
      <c r="P381" s="18">
        <v>11.331200000000001</v>
      </c>
      <c r="Q381" s="18">
        <v>-7.0000000000000007E-2</v>
      </c>
      <c r="R381" s="18">
        <v>-163.96</v>
      </c>
      <c r="S381" s="17">
        <v>-5.6899999999999997E-3</v>
      </c>
      <c r="T381" s="4">
        <v>1.302E-2</v>
      </c>
    </row>
    <row r="382" spans="1:20" x14ac:dyDescent="0.3">
      <c r="A382" s="11">
        <v>-0.1019</v>
      </c>
      <c r="B382" s="11">
        <v>0.28739999999999999</v>
      </c>
      <c r="C382" s="11">
        <v>0.33427000000000001</v>
      </c>
      <c r="D382" s="11">
        <v>0.33427000000000001</v>
      </c>
      <c r="E382" s="11">
        <v>0.35349999999999998</v>
      </c>
      <c r="F382" s="11">
        <v>0.26329999999999998</v>
      </c>
      <c r="G382" s="11">
        <v>-0.31240000000000001</v>
      </c>
      <c r="H382" s="11">
        <v>1.1668000000000001</v>
      </c>
      <c r="I382" s="11">
        <v>1.026</v>
      </c>
      <c r="J382" s="11">
        <v>0.80001999999999995</v>
      </c>
      <c r="K382" s="11">
        <v>4</v>
      </c>
      <c r="L382" s="11">
        <v>45334.6</v>
      </c>
      <c r="M382" s="11">
        <v>1.22546</v>
      </c>
      <c r="N382" s="23">
        <v>7227000</v>
      </c>
      <c r="O382" s="11">
        <v>-11.4176</v>
      </c>
      <c r="P382" s="18">
        <v>35.070999999999998</v>
      </c>
      <c r="Q382" s="18">
        <v>-7.0000000000000007E-2</v>
      </c>
      <c r="R382" s="18">
        <v>-502.96499999999997</v>
      </c>
      <c r="S382" s="17">
        <v>-5.1200000000000004E-3</v>
      </c>
      <c r="T382" s="4">
        <v>1.5740000000000001E-2</v>
      </c>
    </row>
    <row r="383" spans="1:20" x14ac:dyDescent="0.3">
      <c r="A383" s="11">
        <v>-0.1113</v>
      </c>
      <c r="B383" s="11">
        <v>0.2823</v>
      </c>
      <c r="C383" s="11">
        <v>0.54384999999999994</v>
      </c>
      <c r="D383" s="11">
        <v>0.54384999999999994</v>
      </c>
      <c r="E383" s="11">
        <v>0.56220999999999999</v>
      </c>
      <c r="F383" s="11">
        <v>0.24360000000000001</v>
      </c>
      <c r="G383" s="11">
        <v>-0.29870000000000002</v>
      </c>
      <c r="H383" s="11">
        <v>1.1825000000000001</v>
      </c>
      <c r="I383" s="11">
        <v>1.026</v>
      </c>
      <c r="J383" s="11">
        <v>1.1996500000000001</v>
      </c>
      <c r="K383" s="11">
        <v>4</v>
      </c>
      <c r="L383" s="11">
        <v>102064</v>
      </c>
      <c r="M383" s="11">
        <v>1.22698</v>
      </c>
      <c r="N383" s="23">
        <v>10850000</v>
      </c>
      <c r="O383" s="11">
        <v>-13.564299999999999</v>
      </c>
      <c r="P383" s="18">
        <v>67.294799999999995</v>
      </c>
      <c r="Q383" s="18">
        <v>-7.0000000000000007E-2</v>
      </c>
      <c r="R383" s="18">
        <v>-935.19799999999998</v>
      </c>
      <c r="S383" s="17">
        <v>-2.7000000000000001E-3</v>
      </c>
      <c r="T383" s="4">
        <v>1.342E-2</v>
      </c>
    </row>
    <row r="384" spans="1:20" x14ac:dyDescent="0.3">
      <c r="A384" s="11">
        <v>-5.8500000000000003E-2</v>
      </c>
      <c r="B384" s="11">
        <v>0.22389999999999999</v>
      </c>
      <c r="C384" s="11">
        <v>0.40289000000000003</v>
      </c>
      <c r="D384" s="11">
        <v>0.40289000000000003</v>
      </c>
      <c r="E384" s="11">
        <v>0.41753000000000001</v>
      </c>
      <c r="F384" s="11">
        <v>0.1953</v>
      </c>
      <c r="G384" s="11">
        <v>-0.2296</v>
      </c>
      <c r="H384" s="11">
        <v>1.1296999999999999</v>
      </c>
      <c r="I384" s="11">
        <v>1.026</v>
      </c>
      <c r="J384" s="11">
        <v>1.99996</v>
      </c>
      <c r="K384" s="11">
        <v>4</v>
      </c>
      <c r="L384" s="11">
        <v>283350</v>
      </c>
      <c r="M384" s="11">
        <v>1.2256100000000001</v>
      </c>
      <c r="N384" s="23">
        <v>18070000</v>
      </c>
      <c r="O384" s="11">
        <v>-19.634399999999999</v>
      </c>
      <c r="P384" s="18">
        <v>147.71600000000001</v>
      </c>
      <c r="Q384" s="18">
        <v>-7.0000000000000007E-2</v>
      </c>
      <c r="R384" s="18">
        <v>-2078.4699999999998</v>
      </c>
      <c r="S384" s="17">
        <v>-1.41E-3</v>
      </c>
      <c r="T384" s="4">
        <v>1.061E-2</v>
      </c>
    </row>
    <row r="385" spans="1:20" x14ac:dyDescent="0.3">
      <c r="A385" s="11">
        <v>-4.2999999999999997E-2</v>
      </c>
      <c r="B385" s="11">
        <v>0.1951</v>
      </c>
      <c r="C385" s="11">
        <v>0.25080999999999998</v>
      </c>
      <c r="D385" s="11">
        <v>0.25080999999999998</v>
      </c>
      <c r="E385" s="11">
        <v>0.26380999999999999</v>
      </c>
      <c r="F385" s="11">
        <v>0.1772</v>
      </c>
      <c r="G385" s="11">
        <v>-0.16170000000000001</v>
      </c>
      <c r="H385" s="11">
        <v>1.1135999999999999</v>
      </c>
      <c r="I385" s="11">
        <v>1.026</v>
      </c>
      <c r="J385" s="11">
        <v>4</v>
      </c>
      <c r="K385" s="11">
        <v>4</v>
      </c>
      <c r="L385" s="11">
        <v>1133290</v>
      </c>
      <c r="M385" s="11">
        <v>1.2254400000000001</v>
      </c>
      <c r="N385" s="23">
        <v>36140000</v>
      </c>
      <c r="O385" s="11">
        <v>-45.209699999999998</v>
      </c>
      <c r="P385" s="18">
        <v>380.07</v>
      </c>
      <c r="Q385" s="18">
        <v>-7.0000000000000007E-2</v>
      </c>
      <c r="R385" s="18">
        <v>-5149.51</v>
      </c>
      <c r="S385" s="17">
        <v>-8.0999999999999996E-4</v>
      </c>
      <c r="T385" s="4">
        <v>6.8199999999999997E-3</v>
      </c>
    </row>
    <row r="386" spans="1:20" x14ac:dyDescent="0.3">
      <c r="A386" s="11">
        <v>-5.3100000000000001E-2</v>
      </c>
      <c r="B386" s="11">
        <v>0.188</v>
      </c>
      <c r="C386" s="11">
        <v>0.22106000000000001</v>
      </c>
      <c r="D386" s="11">
        <v>0.22106000000000001</v>
      </c>
      <c r="E386" s="11">
        <v>0.23363999999999999</v>
      </c>
      <c r="F386" s="11">
        <v>0.1721</v>
      </c>
      <c r="G386" s="11">
        <v>-0.1489</v>
      </c>
      <c r="H386" s="11">
        <v>1.1380999999999999</v>
      </c>
      <c r="I386" s="11">
        <v>1.026</v>
      </c>
      <c r="J386" s="11">
        <v>6</v>
      </c>
      <c r="K386" s="11">
        <v>4</v>
      </c>
      <c r="L386" s="11">
        <v>2549880</v>
      </c>
      <c r="M386" s="11">
        <v>1.22543</v>
      </c>
      <c r="N386" s="23">
        <v>54200000</v>
      </c>
      <c r="O386" s="11">
        <v>-84.412599999999998</v>
      </c>
      <c r="P386" s="18">
        <v>746.97299999999996</v>
      </c>
      <c r="Q386" s="18">
        <v>-7.0000000000000007E-2</v>
      </c>
      <c r="R386" s="18">
        <v>-9597.41</v>
      </c>
      <c r="S386" s="17">
        <v>-6.7000000000000002E-4</v>
      </c>
      <c r="T386" s="4">
        <v>5.96E-3</v>
      </c>
    </row>
    <row r="387" spans="1:20" x14ac:dyDescent="0.3">
      <c r="A387" s="11">
        <v>-5.8200000000000002E-2</v>
      </c>
      <c r="B387" s="11">
        <v>0.18149999999999999</v>
      </c>
      <c r="C387" s="11">
        <v>0.20574999999999999</v>
      </c>
      <c r="D387" s="11">
        <v>0.20574999999999999</v>
      </c>
      <c r="E387" s="11">
        <v>0.21790999999999999</v>
      </c>
      <c r="F387" s="11">
        <v>0.16669999999999999</v>
      </c>
      <c r="G387" s="11">
        <v>-0.14169999999999999</v>
      </c>
      <c r="H387" s="11">
        <v>1.1534</v>
      </c>
      <c r="I387" s="11">
        <v>1.026</v>
      </c>
      <c r="J387" s="11">
        <v>8</v>
      </c>
      <c r="K387" s="11">
        <v>4</v>
      </c>
      <c r="L387" s="11">
        <v>4533110</v>
      </c>
      <c r="M387" s="11">
        <v>1.22543</v>
      </c>
      <c r="N387" s="23">
        <v>72270000</v>
      </c>
      <c r="O387" s="11">
        <v>-101.38200000000001</v>
      </c>
      <c r="P387" s="18">
        <v>1324.77</v>
      </c>
      <c r="Q387" s="18">
        <v>-7.0000000000000007E-2</v>
      </c>
      <c r="R387" s="18">
        <v>-15868.2</v>
      </c>
      <c r="S387" s="17">
        <v>-4.6000000000000001E-4</v>
      </c>
      <c r="T387" s="4">
        <v>5.9500000000000004E-3</v>
      </c>
    </row>
    <row r="388" spans="1:20" x14ac:dyDescent="0.3">
      <c r="A388" s="11">
        <v>-5.6399999999999999E-2</v>
      </c>
      <c r="B388" s="11">
        <v>0.1754</v>
      </c>
      <c r="C388" s="11">
        <v>0.19736000000000001</v>
      </c>
      <c r="D388" s="11">
        <v>0.19736000000000001</v>
      </c>
      <c r="E388" s="11">
        <v>0.20910999999999999</v>
      </c>
      <c r="F388" s="11">
        <v>0.16120000000000001</v>
      </c>
      <c r="G388" s="11">
        <v>-0.13719999999999999</v>
      </c>
      <c r="H388" s="11">
        <v>1.1537999999999999</v>
      </c>
      <c r="I388" s="11">
        <v>1.026</v>
      </c>
      <c r="J388" s="11">
        <v>10</v>
      </c>
      <c r="K388" s="11">
        <v>4</v>
      </c>
      <c r="L388" s="11">
        <v>7082980</v>
      </c>
      <c r="M388" s="11">
        <v>1.22543</v>
      </c>
      <c r="N388" s="23">
        <v>90340000</v>
      </c>
      <c r="O388" s="11">
        <v>-83.171800000000005</v>
      </c>
      <c r="P388" s="18">
        <v>2117.16</v>
      </c>
      <c r="Q388" s="18">
        <v>-7.0000000000000007E-2</v>
      </c>
      <c r="R388" s="18">
        <v>-24135.7</v>
      </c>
      <c r="S388" s="17">
        <v>-2.4000000000000001E-4</v>
      </c>
      <c r="T388" s="4">
        <v>6.0800000000000003E-3</v>
      </c>
    </row>
    <row r="392" spans="1:20" ht="36" x14ac:dyDescent="0.3">
      <c r="A392" s="12" t="s">
        <v>31</v>
      </c>
      <c r="B392" s="12" t="s">
        <v>32</v>
      </c>
      <c r="C392" s="12" t="s">
        <v>33</v>
      </c>
      <c r="D392" s="12" t="s">
        <v>44</v>
      </c>
      <c r="E392" s="12" t="s">
        <v>34</v>
      </c>
      <c r="F392" s="12" t="s">
        <v>35</v>
      </c>
      <c r="G392" s="12" t="s">
        <v>36</v>
      </c>
      <c r="H392" s="12" t="s">
        <v>37</v>
      </c>
      <c r="I392" s="12" t="s">
        <v>38</v>
      </c>
      <c r="J392" s="12" t="s">
        <v>39</v>
      </c>
      <c r="K392" s="12" t="s">
        <v>40</v>
      </c>
      <c r="L392" s="12" t="s">
        <v>41</v>
      </c>
      <c r="M392" s="12" t="s">
        <v>42</v>
      </c>
      <c r="N392" s="12" t="s">
        <v>43</v>
      </c>
      <c r="O392" s="12" t="s">
        <v>45</v>
      </c>
      <c r="P392" s="16" t="s">
        <v>46</v>
      </c>
      <c r="Q392" s="16" t="s">
        <v>47</v>
      </c>
      <c r="R392" s="16" t="s">
        <v>48</v>
      </c>
      <c r="S392" s="16" t="s">
        <v>51</v>
      </c>
      <c r="T392" s="4" t="s">
        <v>52</v>
      </c>
    </row>
    <row r="393" spans="1:20" x14ac:dyDescent="0.3">
      <c r="A393" s="11">
        <v>-0.13600000000000001</v>
      </c>
      <c r="B393" s="11">
        <v>0.50790000000000002</v>
      </c>
      <c r="C393" s="11">
        <v>0.24187</v>
      </c>
      <c r="D393" s="11">
        <v>0.24187</v>
      </c>
      <c r="E393" s="11">
        <v>0.31020999999999999</v>
      </c>
      <c r="F393" s="11">
        <v>0.46929999999999999</v>
      </c>
      <c r="G393" s="11">
        <v>-0.2525</v>
      </c>
      <c r="H393" s="11">
        <v>1.1323000000000001</v>
      </c>
      <c r="I393" s="11">
        <v>1.026</v>
      </c>
      <c r="J393" s="11">
        <v>0.3</v>
      </c>
      <c r="K393" s="11">
        <v>8</v>
      </c>
      <c r="L393" s="11">
        <v>6374.75</v>
      </c>
      <c r="M393" s="11">
        <v>1.22543</v>
      </c>
      <c r="N393" s="23">
        <v>2710000</v>
      </c>
      <c r="O393" s="11">
        <v>-0.92420000000000002</v>
      </c>
      <c r="P393" s="18">
        <v>2.2963</v>
      </c>
      <c r="Q393" s="18">
        <v>-7.0000000000000007E-2</v>
      </c>
      <c r="R393" s="18">
        <v>-32.250100000000003</v>
      </c>
      <c r="S393" s="17">
        <v>-2.9499999999999999E-3</v>
      </c>
      <c r="T393" s="4">
        <v>7.3299999999999997E-3</v>
      </c>
    </row>
    <row r="394" spans="1:20" x14ac:dyDescent="0.3">
      <c r="A394" s="11">
        <v>-0.1278</v>
      </c>
      <c r="B394" s="11">
        <v>0.50090000000000001</v>
      </c>
      <c r="C394" s="11">
        <v>0.25530000000000003</v>
      </c>
      <c r="D394" s="11">
        <v>0.25530000000000003</v>
      </c>
      <c r="E394" s="11">
        <v>0.32252999999999998</v>
      </c>
      <c r="F394" s="11">
        <v>0.46050000000000002</v>
      </c>
      <c r="G394" s="11">
        <v>-0.2452</v>
      </c>
      <c r="H394" s="11">
        <v>1.1273</v>
      </c>
      <c r="I394" s="11">
        <v>1.026</v>
      </c>
      <c r="J394" s="11">
        <v>0.5</v>
      </c>
      <c r="K394" s="11">
        <v>8</v>
      </c>
      <c r="L394" s="11">
        <v>17707.8</v>
      </c>
      <c r="M394" s="11">
        <v>1.22543</v>
      </c>
      <c r="N394" s="23">
        <v>4517000</v>
      </c>
      <c r="O394" s="11">
        <v>-2.6031</v>
      </c>
      <c r="P394" s="18">
        <v>6.6879</v>
      </c>
      <c r="Q394" s="18">
        <v>-7.0000000000000007E-2</v>
      </c>
      <c r="R394" s="18">
        <v>-94.015699999999995</v>
      </c>
      <c r="S394" s="17">
        <v>-2.99E-3</v>
      </c>
      <c r="T394" s="4">
        <v>7.6899999999999998E-3</v>
      </c>
    </row>
    <row r="395" spans="1:20" x14ac:dyDescent="0.3">
      <c r="A395" s="11">
        <v>-0.18190000000000001</v>
      </c>
      <c r="B395" s="11">
        <v>0.55149999999999999</v>
      </c>
      <c r="C395" s="11">
        <v>0.32195000000000001</v>
      </c>
      <c r="D395" s="11">
        <v>0.32195000000000001</v>
      </c>
      <c r="E395" s="11">
        <v>0.39556999999999998</v>
      </c>
      <c r="F395" s="11">
        <v>0.50139999999999996</v>
      </c>
      <c r="G395" s="11">
        <v>-0.27800000000000002</v>
      </c>
      <c r="H395" s="11">
        <v>1.1569</v>
      </c>
      <c r="I395" s="11">
        <v>1.026</v>
      </c>
      <c r="J395" s="11">
        <v>0.80003000000000002</v>
      </c>
      <c r="K395" s="11">
        <v>8</v>
      </c>
      <c r="L395" s="11">
        <v>45336.1</v>
      </c>
      <c r="M395" s="11">
        <v>1.2254799999999999</v>
      </c>
      <c r="N395" s="23">
        <v>7228000</v>
      </c>
      <c r="O395" s="11">
        <v>-5.4367999999999999</v>
      </c>
      <c r="P395" s="18">
        <v>20.263100000000001</v>
      </c>
      <c r="Q395" s="18">
        <v>-7.0000000000000007E-2</v>
      </c>
      <c r="R395" s="18">
        <v>-282.10700000000003</v>
      </c>
      <c r="S395" s="17">
        <v>-2.4399999999999999E-3</v>
      </c>
      <c r="T395" s="4">
        <v>9.0900000000000009E-3</v>
      </c>
    </row>
    <row r="396" spans="1:20" x14ac:dyDescent="0.3">
      <c r="A396" s="11">
        <v>-0.20280000000000001</v>
      </c>
      <c r="B396" s="11">
        <v>0.55069999999999997</v>
      </c>
      <c r="C396" s="11">
        <v>0.53251999999999999</v>
      </c>
      <c r="D396" s="11">
        <v>0.53251999999999999</v>
      </c>
      <c r="E396" s="11">
        <v>0.60397999999999996</v>
      </c>
      <c r="F396" s="11">
        <v>0.47120000000000001</v>
      </c>
      <c r="G396" s="11">
        <v>-0.28299999999999997</v>
      </c>
      <c r="H396" s="11">
        <v>1.1721999999999999</v>
      </c>
      <c r="I396" s="11">
        <v>1.026</v>
      </c>
      <c r="J396" s="11">
        <v>1.19974</v>
      </c>
      <c r="K396" s="11">
        <v>8</v>
      </c>
      <c r="L396" s="11">
        <v>102043</v>
      </c>
      <c r="M396" s="11">
        <v>1.22654</v>
      </c>
      <c r="N396" s="23">
        <v>10850000</v>
      </c>
      <c r="O396" s="11">
        <v>-4.6528999999999998</v>
      </c>
      <c r="P396" s="18">
        <v>34.639499999999998</v>
      </c>
      <c r="Q396" s="18">
        <v>-7.0000000000000007E-2</v>
      </c>
      <c r="R396" s="18">
        <v>-465.83199999999999</v>
      </c>
      <c r="S396" s="17">
        <v>-9.3000000000000005E-4</v>
      </c>
      <c r="T396" s="4">
        <v>6.9100000000000003E-3</v>
      </c>
    </row>
    <row r="397" spans="1:20" x14ac:dyDescent="0.3">
      <c r="A397" s="11">
        <v>-0.1111</v>
      </c>
      <c r="B397" s="11">
        <v>0.45679999999999998</v>
      </c>
      <c r="C397" s="11">
        <v>0.39790999999999999</v>
      </c>
      <c r="D397" s="11">
        <v>0.39790999999999999</v>
      </c>
      <c r="E397" s="11">
        <v>0.45761000000000002</v>
      </c>
      <c r="F397" s="11">
        <v>0.39700000000000002</v>
      </c>
      <c r="G397" s="11">
        <v>-0.2276</v>
      </c>
      <c r="H397" s="11">
        <v>1.1226</v>
      </c>
      <c r="I397" s="11">
        <v>1.026</v>
      </c>
      <c r="J397" s="11">
        <v>1.99997</v>
      </c>
      <c r="K397" s="11">
        <v>8</v>
      </c>
      <c r="L397" s="11">
        <v>283345</v>
      </c>
      <c r="M397" s="11">
        <v>1.2255799999999999</v>
      </c>
      <c r="N397" s="23">
        <v>18070000</v>
      </c>
      <c r="O397" s="11">
        <v>-6.8154000000000003</v>
      </c>
      <c r="P397" s="18">
        <v>86.668599999999998</v>
      </c>
      <c r="Q397" s="18">
        <v>-7.0000000000000007E-2</v>
      </c>
      <c r="R397" s="18">
        <v>-1133.83</v>
      </c>
      <c r="S397" s="17">
        <v>-4.8999999999999998E-4</v>
      </c>
      <c r="T397" s="4">
        <v>6.2199999999999998E-3</v>
      </c>
    </row>
    <row r="398" spans="1:20" x14ac:dyDescent="0.3">
      <c r="A398" s="11">
        <v>-8.1100000000000005E-2</v>
      </c>
      <c r="B398" s="11">
        <v>0.40920000000000001</v>
      </c>
      <c r="C398" s="11">
        <v>0.26850000000000002</v>
      </c>
      <c r="D398" s="11">
        <v>0.26850000000000002</v>
      </c>
      <c r="E398" s="11">
        <v>0.32284000000000002</v>
      </c>
      <c r="F398" s="11">
        <v>0.36780000000000002</v>
      </c>
      <c r="G398" s="11">
        <v>-0.17130000000000001</v>
      </c>
      <c r="H398" s="11">
        <v>1.1047</v>
      </c>
      <c r="I398" s="11">
        <v>1.026</v>
      </c>
      <c r="J398" s="11">
        <v>4</v>
      </c>
      <c r="K398" s="11">
        <v>8</v>
      </c>
      <c r="L398" s="11">
        <v>1133290</v>
      </c>
      <c r="M398" s="11">
        <v>1.2254400000000001</v>
      </c>
      <c r="N398" s="23">
        <v>36140000</v>
      </c>
      <c r="O398" s="11">
        <v>-12.8855</v>
      </c>
      <c r="P398" s="18">
        <v>204.95500000000001</v>
      </c>
      <c r="Q398" s="18">
        <v>-7.0000000000000007E-2</v>
      </c>
      <c r="R398" s="18">
        <v>-2549.69</v>
      </c>
      <c r="S398" s="17">
        <v>-2.3000000000000001E-4</v>
      </c>
      <c r="T398" s="4">
        <v>3.6800000000000001E-3</v>
      </c>
    </row>
    <row r="399" spans="1:20" x14ac:dyDescent="0.3">
      <c r="A399" s="11">
        <v>-9.2100000000000001E-2</v>
      </c>
      <c r="B399" s="11">
        <v>0.39090000000000003</v>
      </c>
      <c r="C399" s="11">
        <v>0.23760000000000001</v>
      </c>
      <c r="D399" s="11">
        <v>0.23760000000000001</v>
      </c>
      <c r="E399" s="11">
        <v>0.28967999999999999</v>
      </c>
      <c r="F399" s="11">
        <v>0.35399999999999998</v>
      </c>
      <c r="G399" s="11">
        <v>-0.15770000000000001</v>
      </c>
      <c r="H399" s="11">
        <v>1.1194999999999999</v>
      </c>
      <c r="I399" s="11">
        <v>1.026</v>
      </c>
      <c r="J399" s="11">
        <v>6</v>
      </c>
      <c r="K399" s="11">
        <v>8</v>
      </c>
      <c r="L399" s="11">
        <v>2549890</v>
      </c>
      <c r="M399" s="11">
        <v>1.2254400000000001</v>
      </c>
      <c r="N399" s="23">
        <v>54200000</v>
      </c>
      <c r="O399" s="11">
        <v>-24.0672</v>
      </c>
      <c r="P399" s="18">
        <v>386.23399999999998</v>
      </c>
      <c r="Q399" s="18">
        <v>-7.0000000000000007E-2</v>
      </c>
      <c r="R399" s="18">
        <v>-4445.53</v>
      </c>
      <c r="S399" s="17">
        <v>-1.9000000000000001E-4</v>
      </c>
      <c r="T399" s="4">
        <v>3.0799999999999998E-3</v>
      </c>
    </row>
    <row r="400" spans="1:20" x14ac:dyDescent="0.3">
      <c r="A400" s="11">
        <v>-9.2700000000000005E-2</v>
      </c>
      <c r="B400" s="11">
        <v>0.37469999999999998</v>
      </c>
      <c r="C400" s="11">
        <v>0.22247</v>
      </c>
      <c r="D400" s="11">
        <v>0.22247</v>
      </c>
      <c r="E400" s="11">
        <v>0.27245000000000003</v>
      </c>
      <c r="F400" s="11">
        <v>0.34010000000000001</v>
      </c>
      <c r="G400" s="11">
        <v>-0.1487</v>
      </c>
      <c r="H400" s="11">
        <v>1.1243000000000001</v>
      </c>
      <c r="I400" s="11">
        <v>1.026</v>
      </c>
      <c r="J400" s="11">
        <v>8</v>
      </c>
      <c r="K400" s="11">
        <v>8</v>
      </c>
      <c r="L400" s="11">
        <v>4533140</v>
      </c>
      <c r="M400" s="11">
        <v>1.2254400000000001</v>
      </c>
      <c r="N400" s="23">
        <v>72270000</v>
      </c>
      <c r="O400" s="11">
        <v>-24.0929</v>
      </c>
      <c r="P400" s="18">
        <v>689.25800000000004</v>
      </c>
      <c r="Q400" s="18">
        <v>-7.0000000000000007E-2</v>
      </c>
      <c r="R400" s="18">
        <v>-7437.41</v>
      </c>
      <c r="S400" s="17">
        <v>-1.1E-4</v>
      </c>
      <c r="T400" s="4">
        <v>3.0899999999999999E-3</v>
      </c>
    </row>
    <row r="401" spans="1:20" x14ac:dyDescent="0.3">
      <c r="A401" s="11">
        <v>-8.9899999999999994E-2</v>
      </c>
      <c r="B401" s="11">
        <v>0.36399999999999999</v>
      </c>
      <c r="C401" s="11">
        <v>0.21385000000000001</v>
      </c>
      <c r="D401" s="11">
        <v>0.21385000000000001</v>
      </c>
      <c r="E401" s="11">
        <v>0.26243</v>
      </c>
      <c r="F401" s="11">
        <v>0.33069999999999999</v>
      </c>
      <c r="G401" s="11">
        <v>-0.14299999999999999</v>
      </c>
      <c r="H401" s="11">
        <v>1.1241000000000001</v>
      </c>
      <c r="I401" s="11">
        <v>1.026</v>
      </c>
      <c r="J401" s="11">
        <v>10</v>
      </c>
      <c r="K401" s="11">
        <v>8</v>
      </c>
      <c r="L401" s="11">
        <v>7083030</v>
      </c>
      <c r="M401" s="11">
        <v>1.2254400000000001</v>
      </c>
      <c r="N401" s="23">
        <v>90340000</v>
      </c>
      <c r="O401" s="11">
        <v>13.0121</v>
      </c>
      <c r="P401" s="18">
        <v>1120.7</v>
      </c>
      <c r="Q401" s="18">
        <v>-7.0000000000000007E-2</v>
      </c>
      <c r="R401" s="18">
        <v>-11340.1</v>
      </c>
      <c r="S401" s="17">
        <v>4.0000000000000003E-5</v>
      </c>
      <c r="T401" s="4">
        <v>3.2200000000000002E-3</v>
      </c>
    </row>
    <row r="405" spans="1:20" ht="36" x14ac:dyDescent="0.3">
      <c r="A405" s="12" t="s">
        <v>31</v>
      </c>
      <c r="B405" s="12" t="s">
        <v>32</v>
      </c>
      <c r="C405" s="12" t="s">
        <v>33</v>
      </c>
      <c r="D405" s="12" t="s">
        <v>44</v>
      </c>
      <c r="E405" s="12" t="s">
        <v>34</v>
      </c>
      <c r="F405" s="12" t="s">
        <v>35</v>
      </c>
      <c r="G405" s="12" t="s">
        <v>36</v>
      </c>
      <c r="H405" s="12" t="s">
        <v>37</v>
      </c>
      <c r="I405" s="12" t="s">
        <v>38</v>
      </c>
      <c r="J405" s="12" t="s">
        <v>39</v>
      </c>
      <c r="K405" s="12" t="s">
        <v>40</v>
      </c>
      <c r="L405" s="12" t="s">
        <v>41</v>
      </c>
      <c r="M405" s="12" t="s">
        <v>42</v>
      </c>
      <c r="N405" s="12" t="s">
        <v>43</v>
      </c>
      <c r="O405" s="12" t="s">
        <v>45</v>
      </c>
      <c r="P405" s="16" t="s">
        <v>46</v>
      </c>
      <c r="Q405" s="16" t="s">
        <v>47</v>
      </c>
      <c r="R405" s="16" t="s">
        <v>48</v>
      </c>
      <c r="S405" s="16" t="s">
        <v>51</v>
      </c>
      <c r="T405" s="4" t="s">
        <v>52</v>
      </c>
    </row>
    <row r="406" spans="1:20" x14ac:dyDescent="0.3">
      <c r="A406" s="11">
        <v>-0.1709</v>
      </c>
      <c r="B406" s="11">
        <v>0.71809999999999996</v>
      </c>
      <c r="C406" s="11">
        <v>0.23613999999999999</v>
      </c>
      <c r="D406" s="11">
        <v>0.23613999999999999</v>
      </c>
      <c r="E406" s="11">
        <v>0.38029000000000002</v>
      </c>
      <c r="F406" s="11">
        <v>0.65329999999999999</v>
      </c>
      <c r="G406" s="11">
        <v>-0.221</v>
      </c>
      <c r="H406" s="11">
        <v>1.1205000000000001</v>
      </c>
      <c r="I406" s="13">
        <v>1.026</v>
      </c>
      <c r="J406" s="11">
        <v>0.3</v>
      </c>
      <c r="K406" s="11">
        <v>12</v>
      </c>
      <c r="L406" s="11">
        <v>6374.77</v>
      </c>
      <c r="M406" s="11">
        <v>1.22543</v>
      </c>
      <c r="N406" s="23">
        <v>2710000</v>
      </c>
      <c r="O406" s="11">
        <v>-0.1414</v>
      </c>
      <c r="P406" s="18">
        <v>0.82489999999999997</v>
      </c>
      <c r="Q406" s="18">
        <v>-7.0000000000000007E-2</v>
      </c>
      <c r="R406" s="18">
        <v>-10.1516</v>
      </c>
      <c r="S406" s="17">
        <v>-4.4999999999999999E-4</v>
      </c>
      <c r="T406" s="4">
        <v>2.63E-3</v>
      </c>
    </row>
    <row r="407" spans="1:20" x14ac:dyDescent="0.3">
      <c r="A407" s="11">
        <v>-0.17299999999999999</v>
      </c>
      <c r="B407" s="11">
        <v>0.7238</v>
      </c>
      <c r="C407" s="11">
        <v>0.24693999999999999</v>
      </c>
      <c r="D407" s="11">
        <v>0.24693999999999999</v>
      </c>
      <c r="E407" s="11">
        <v>0.39204</v>
      </c>
      <c r="F407" s="11">
        <v>0.65669999999999995</v>
      </c>
      <c r="G407" s="11">
        <v>-0.21829999999999999</v>
      </c>
      <c r="H407" s="11">
        <v>1.1209</v>
      </c>
      <c r="I407" s="13">
        <v>1.026</v>
      </c>
      <c r="J407" s="11">
        <v>0.50000999999999995</v>
      </c>
      <c r="K407" s="11">
        <v>12</v>
      </c>
      <c r="L407" s="11">
        <v>17707.900000000001</v>
      </c>
      <c r="M407" s="11">
        <v>1.22543</v>
      </c>
      <c r="N407" s="23">
        <v>4517000</v>
      </c>
      <c r="O407" s="11">
        <v>-0.37409999999999999</v>
      </c>
      <c r="P407" s="18">
        <v>2.4203999999999999</v>
      </c>
      <c r="Q407" s="18">
        <v>-7.0000000000000007E-2</v>
      </c>
      <c r="R407" s="18">
        <v>-29.8733</v>
      </c>
      <c r="S407" s="17">
        <v>-4.2999999999999999E-4</v>
      </c>
      <c r="T407" s="4">
        <v>2.7799999999999999E-3</v>
      </c>
    </row>
    <row r="408" spans="1:20" x14ac:dyDescent="0.3">
      <c r="A408" s="11">
        <v>-0.23430000000000001</v>
      </c>
      <c r="B408" s="11">
        <v>0.78859999999999997</v>
      </c>
      <c r="C408" s="11">
        <v>0.30859999999999999</v>
      </c>
      <c r="D408" s="11">
        <v>0.30859999999999999</v>
      </c>
      <c r="E408" s="11">
        <v>0.46582000000000001</v>
      </c>
      <c r="F408" s="11">
        <v>0.70720000000000005</v>
      </c>
      <c r="G408" s="11">
        <v>-0.24110000000000001</v>
      </c>
      <c r="H408" s="11">
        <v>1.1439999999999999</v>
      </c>
      <c r="I408" s="13">
        <v>1.026</v>
      </c>
      <c r="J408" s="11">
        <v>0.80003999999999997</v>
      </c>
      <c r="K408" s="11">
        <v>12</v>
      </c>
      <c r="L408" s="11">
        <v>45339</v>
      </c>
      <c r="M408" s="11">
        <v>1.22553</v>
      </c>
      <c r="N408" s="23">
        <v>7228000</v>
      </c>
      <c r="O408" s="11">
        <v>-0.1057</v>
      </c>
      <c r="P408" s="18">
        <v>7.3921000000000001</v>
      </c>
      <c r="Q408" s="18">
        <v>-7.0000000000000007E-2</v>
      </c>
      <c r="R408" s="18">
        <v>-90.027699999999996</v>
      </c>
      <c r="S408" s="17">
        <v>-5.0000000000000002E-5</v>
      </c>
      <c r="T408" s="4">
        <v>3.32E-3</v>
      </c>
    </row>
    <row r="409" spans="1:20" x14ac:dyDescent="0.3">
      <c r="A409" s="11">
        <v>-0.26450000000000001</v>
      </c>
      <c r="B409" s="11">
        <v>0.80349999999999999</v>
      </c>
      <c r="C409" s="11">
        <v>0.52634999999999998</v>
      </c>
      <c r="D409" s="11">
        <v>0.52634999999999998</v>
      </c>
      <c r="E409" s="11">
        <v>0.68189999999999995</v>
      </c>
      <c r="F409" s="11">
        <v>0.67649999999999999</v>
      </c>
      <c r="G409" s="11">
        <v>-0.26469999999999999</v>
      </c>
      <c r="H409" s="11">
        <v>1.1567000000000001</v>
      </c>
      <c r="I409" s="13">
        <v>1.026</v>
      </c>
      <c r="J409" s="11">
        <v>1.1997599999999999</v>
      </c>
      <c r="K409" s="11">
        <v>12</v>
      </c>
      <c r="L409" s="11">
        <v>102035</v>
      </c>
      <c r="M409" s="11">
        <v>1.2263900000000001</v>
      </c>
      <c r="N409" s="23">
        <v>10850000</v>
      </c>
      <c r="O409" s="11">
        <v>3.8294999999999999</v>
      </c>
      <c r="P409" s="18">
        <v>8.3431999999999995</v>
      </c>
      <c r="Q409" s="18">
        <v>-7.0000000000000007E-2</v>
      </c>
      <c r="R409" s="18">
        <v>-80.301400000000001</v>
      </c>
      <c r="S409" s="17">
        <v>7.6000000000000004E-4</v>
      </c>
      <c r="T409" s="4">
        <v>1.66E-3</v>
      </c>
    </row>
    <row r="410" spans="1:20" x14ac:dyDescent="0.3">
      <c r="A410" s="11">
        <v>-0.15359999999999999</v>
      </c>
      <c r="B410" s="11">
        <v>0.7147</v>
      </c>
      <c r="C410" s="11">
        <v>0.39378999999999997</v>
      </c>
      <c r="D410" s="11">
        <v>0.39378999999999997</v>
      </c>
      <c r="E410" s="11">
        <v>0.53378000000000003</v>
      </c>
      <c r="F410" s="11">
        <v>0.61719999999999997</v>
      </c>
      <c r="G410" s="11">
        <v>-0.22409999999999999</v>
      </c>
      <c r="H410" s="11">
        <v>1.1113</v>
      </c>
      <c r="I410" s="13">
        <v>1.026</v>
      </c>
      <c r="J410" s="11">
        <v>1.99997</v>
      </c>
      <c r="K410" s="11">
        <v>12</v>
      </c>
      <c r="L410" s="11">
        <v>283341</v>
      </c>
      <c r="M410" s="11">
        <v>1.22556</v>
      </c>
      <c r="N410" s="23">
        <v>18070000</v>
      </c>
      <c r="O410" s="11">
        <v>4.9500999999999999</v>
      </c>
      <c r="P410" s="18">
        <v>26.863099999999999</v>
      </c>
      <c r="Q410" s="18">
        <v>-7.0000000000000007E-2</v>
      </c>
      <c r="R410" s="18">
        <v>-262.75700000000001</v>
      </c>
      <c r="S410" s="17">
        <v>3.6000000000000002E-4</v>
      </c>
      <c r="T410" s="4">
        <v>1.9300000000000001E-3</v>
      </c>
    </row>
    <row r="411" spans="1:20" x14ac:dyDescent="0.3">
      <c r="A411" s="11">
        <v>-0.1162</v>
      </c>
      <c r="B411" s="11">
        <v>0.6532</v>
      </c>
      <c r="C411" s="11">
        <v>0.28110000000000002</v>
      </c>
      <c r="D411" s="11">
        <v>0.28110000000000002</v>
      </c>
      <c r="E411" s="11">
        <v>0.41077000000000002</v>
      </c>
      <c r="F411" s="11">
        <v>0.58050000000000002</v>
      </c>
      <c r="G411" s="11">
        <v>-0.17760000000000001</v>
      </c>
      <c r="H411" s="11">
        <v>1.0966</v>
      </c>
      <c r="I411" s="13">
        <v>1.026</v>
      </c>
      <c r="J411" s="11">
        <v>4</v>
      </c>
      <c r="K411" s="11">
        <v>12</v>
      </c>
      <c r="L411" s="11">
        <v>1133300</v>
      </c>
      <c r="M411" s="11">
        <v>1.2254499999999999</v>
      </c>
      <c r="N411" s="23">
        <v>36140000</v>
      </c>
      <c r="O411" s="11">
        <v>18.256399999999999</v>
      </c>
      <c r="P411" s="18">
        <v>47.029800000000002</v>
      </c>
      <c r="Q411" s="18">
        <v>-7.0000000000000007E-2</v>
      </c>
      <c r="R411" s="18">
        <v>-339.96199999999999</v>
      </c>
      <c r="S411" s="17">
        <v>3.3E-4</v>
      </c>
      <c r="T411" s="4">
        <v>8.4000000000000003E-4</v>
      </c>
    </row>
    <row r="412" spans="1:20" x14ac:dyDescent="0.3">
      <c r="A412" s="11">
        <v>-0.11890000000000001</v>
      </c>
      <c r="B412" s="11">
        <v>0.60750000000000004</v>
      </c>
      <c r="C412" s="11">
        <v>0.25447999999999998</v>
      </c>
      <c r="D412" s="11">
        <v>0.25447999999999998</v>
      </c>
      <c r="E412" s="11">
        <v>0.37522</v>
      </c>
      <c r="F412" s="11">
        <v>0.5413</v>
      </c>
      <c r="G412" s="11">
        <v>-0.16300000000000001</v>
      </c>
      <c r="H412" s="11">
        <v>1.1036999999999999</v>
      </c>
      <c r="I412" s="13">
        <v>1.026</v>
      </c>
      <c r="J412" s="11">
        <v>6</v>
      </c>
      <c r="K412" s="11">
        <v>12</v>
      </c>
      <c r="L412" s="11">
        <v>2549940</v>
      </c>
      <c r="M412" s="11">
        <v>1.22546</v>
      </c>
      <c r="N412" s="23">
        <v>54200000</v>
      </c>
      <c r="O412" s="11">
        <v>14.1662</v>
      </c>
      <c r="P412" s="18">
        <v>114.854</v>
      </c>
      <c r="Q412" s="18">
        <v>-7.0000000000000007E-2</v>
      </c>
      <c r="R412" s="18">
        <v>-757.90899999999999</v>
      </c>
      <c r="S412" s="17">
        <v>1.1E-4</v>
      </c>
      <c r="T412" s="4">
        <v>9.2000000000000003E-4</v>
      </c>
    </row>
    <row r="413" spans="1:20" x14ac:dyDescent="0.3">
      <c r="A413" s="11">
        <v>-0.1157</v>
      </c>
      <c r="B413" s="11">
        <v>0.57899999999999996</v>
      </c>
      <c r="C413" s="11">
        <v>0.24196000000000001</v>
      </c>
      <c r="D413" s="11">
        <v>0.24196000000000001</v>
      </c>
      <c r="E413" s="11">
        <v>0.35704000000000002</v>
      </c>
      <c r="F413" s="11">
        <v>0.51600000000000001</v>
      </c>
      <c r="G413" s="11">
        <v>-0.15490000000000001</v>
      </c>
      <c r="H413" s="11">
        <v>1.1052999999999999</v>
      </c>
      <c r="I413" s="13">
        <v>1.026</v>
      </c>
      <c r="J413" s="11">
        <v>8</v>
      </c>
      <c r="K413" s="11">
        <v>12</v>
      </c>
      <c r="L413" s="11">
        <v>4533250</v>
      </c>
      <c r="M413" s="11">
        <v>1.2254700000000001</v>
      </c>
      <c r="N413" s="23">
        <v>72270000</v>
      </c>
      <c r="O413" s="11">
        <v>19.189499999999999</v>
      </c>
      <c r="P413" s="18">
        <v>262.20999999999998</v>
      </c>
      <c r="Q413" s="18">
        <v>-7.0000000000000007E-2</v>
      </c>
      <c r="R413" s="18">
        <v>-1980.34</v>
      </c>
      <c r="S413" s="17">
        <v>9.0000000000000006E-5</v>
      </c>
      <c r="T413" s="4">
        <v>1.1800000000000001E-3</v>
      </c>
    </row>
    <row r="414" spans="1:20" x14ac:dyDescent="0.3">
      <c r="A414" s="11">
        <v>-0.1118</v>
      </c>
      <c r="B414" s="11">
        <v>0.56269999999999998</v>
      </c>
      <c r="C414" s="11">
        <v>0.23511000000000001</v>
      </c>
      <c r="D414" s="11">
        <v>0.23511000000000001</v>
      </c>
      <c r="E414" s="11">
        <v>0.34695999999999999</v>
      </c>
      <c r="F414" s="11">
        <v>0.50149999999999995</v>
      </c>
      <c r="G414" s="11">
        <v>-0.15010000000000001</v>
      </c>
      <c r="H414" s="11">
        <v>1.1049</v>
      </c>
      <c r="I414" s="11">
        <v>1.026</v>
      </c>
      <c r="J414" s="11">
        <v>10</v>
      </c>
      <c r="K414" s="11">
        <v>12</v>
      </c>
      <c r="L414" s="11">
        <v>7083220</v>
      </c>
      <c r="M414" s="11">
        <v>1.2254700000000001</v>
      </c>
      <c r="N414" s="23">
        <v>90340000</v>
      </c>
      <c r="O414" s="11">
        <v>43.487000000000002</v>
      </c>
      <c r="P414" s="18">
        <v>467.84199999999998</v>
      </c>
      <c r="Q414" s="18">
        <v>-7.0000000000000007E-2</v>
      </c>
      <c r="R414" s="18">
        <v>-3629.18</v>
      </c>
      <c r="S414" s="17">
        <v>1.2E-4</v>
      </c>
      <c r="T414" s="4">
        <v>1.34E-3</v>
      </c>
    </row>
    <row r="418" spans="1:20" ht="36" x14ac:dyDescent="0.3">
      <c r="A418" s="12" t="s">
        <v>31</v>
      </c>
      <c r="B418" s="12" t="s">
        <v>32</v>
      </c>
      <c r="C418" s="12" t="s">
        <v>33</v>
      </c>
      <c r="D418" s="12" t="s">
        <v>44</v>
      </c>
      <c r="E418" s="12" t="s">
        <v>34</v>
      </c>
      <c r="F418" s="12" t="s">
        <v>35</v>
      </c>
      <c r="G418" s="12" t="s">
        <v>36</v>
      </c>
      <c r="H418" s="12" t="s">
        <v>37</v>
      </c>
      <c r="I418" s="12" t="s">
        <v>38</v>
      </c>
      <c r="J418" s="12" t="s">
        <v>39</v>
      </c>
      <c r="K418" s="12" t="s">
        <v>40</v>
      </c>
      <c r="L418" s="12" t="s">
        <v>41</v>
      </c>
      <c r="M418" s="12" t="s">
        <v>42</v>
      </c>
      <c r="N418" s="12" t="s">
        <v>43</v>
      </c>
      <c r="O418" s="12" t="s">
        <v>45</v>
      </c>
      <c r="P418" s="16" t="s">
        <v>46</v>
      </c>
      <c r="Q418" s="16" t="s">
        <v>47</v>
      </c>
      <c r="R418" s="16" t="s">
        <v>48</v>
      </c>
      <c r="S418" s="16" t="s">
        <v>51</v>
      </c>
      <c r="T418" s="4" t="s">
        <v>52</v>
      </c>
    </row>
    <row r="419" spans="1:20" x14ac:dyDescent="0.3">
      <c r="A419" s="11">
        <v>-0.2021</v>
      </c>
      <c r="B419" s="11">
        <v>0.91800000000000004</v>
      </c>
      <c r="C419" s="11">
        <v>0.19846</v>
      </c>
      <c r="D419" s="11">
        <v>0.19846</v>
      </c>
      <c r="E419" s="11">
        <v>0.44380999999999998</v>
      </c>
      <c r="F419" s="11">
        <v>0.82779999999999998</v>
      </c>
      <c r="G419" s="11">
        <v>-0.18729999999999999</v>
      </c>
      <c r="H419" s="11">
        <v>1.1133999999999999</v>
      </c>
      <c r="I419" s="11">
        <v>1.026</v>
      </c>
      <c r="J419" s="11">
        <v>0.3</v>
      </c>
      <c r="K419" s="11">
        <v>16</v>
      </c>
      <c r="L419" s="11">
        <v>6374.81</v>
      </c>
      <c r="M419" s="11">
        <v>1.22543</v>
      </c>
      <c r="N419" s="23">
        <v>2710000</v>
      </c>
      <c r="O419" s="11">
        <v>0.61890000000000001</v>
      </c>
      <c r="P419" s="18">
        <v>-0.51949999999999996</v>
      </c>
      <c r="Q419" s="18">
        <v>-7.0000000000000007E-2</v>
      </c>
      <c r="R419" s="18">
        <v>10.198700000000001</v>
      </c>
      <c r="S419" s="17">
        <v>1.98E-3</v>
      </c>
      <c r="T419" s="4">
        <v>-1.66E-3</v>
      </c>
    </row>
    <row r="420" spans="1:20" x14ac:dyDescent="0.3">
      <c r="A420" s="11">
        <v>-0.20549999999999999</v>
      </c>
      <c r="B420" s="11">
        <v>0.92959999999999998</v>
      </c>
      <c r="C420" s="11">
        <v>0.20704</v>
      </c>
      <c r="D420" s="11">
        <v>0.20704</v>
      </c>
      <c r="E420" s="11">
        <v>0.45524999999999999</v>
      </c>
      <c r="F420" s="11">
        <v>0.83650000000000002</v>
      </c>
      <c r="G420" s="11">
        <v>-0.18390000000000001</v>
      </c>
      <c r="H420" s="11">
        <v>1.1137999999999999</v>
      </c>
      <c r="I420" s="11">
        <v>1.026</v>
      </c>
      <c r="J420" s="11">
        <v>0.50000999999999995</v>
      </c>
      <c r="K420" s="11">
        <v>16</v>
      </c>
      <c r="L420" s="11">
        <v>17708.099999999999</v>
      </c>
      <c r="M420" s="11">
        <v>1.2254400000000001</v>
      </c>
      <c r="N420" s="23">
        <v>4517000</v>
      </c>
      <c r="O420" s="11">
        <v>1.7558</v>
      </c>
      <c r="P420" s="18">
        <v>-1.4440999999999999</v>
      </c>
      <c r="Q420" s="18">
        <v>-7.0000000000000007E-2</v>
      </c>
      <c r="R420" s="18">
        <v>28.604099999999999</v>
      </c>
      <c r="S420" s="17">
        <v>2.0200000000000001E-3</v>
      </c>
      <c r="T420" s="4">
        <v>-1.66E-3</v>
      </c>
    </row>
    <row r="421" spans="1:20" x14ac:dyDescent="0.3">
      <c r="A421" s="11">
        <v>-0.26869999999999999</v>
      </c>
      <c r="B421" s="11">
        <v>1.0091000000000001</v>
      </c>
      <c r="C421" s="11">
        <v>0.26901000000000003</v>
      </c>
      <c r="D421" s="11">
        <v>0.26901000000000003</v>
      </c>
      <c r="E421" s="11">
        <v>0.53673000000000004</v>
      </c>
      <c r="F421" s="11">
        <v>0.89580000000000004</v>
      </c>
      <c r="G421" s="11">
        <v>-0.19939999999999999</v>
      </c>
      <c r="H421" s="11">
        <v>1.1316999999999999</v>
      </c>
      <c r="I421" s="11">
        <v>1.026</v>
      </c>
      <c r="J421" s="11">
        <v>0.80005000000000004</v>
      </c>
      <c r="K421" s="11">
        <v>16</v>
      </c>
      <c r="L421" s="11">
        <v>45343.199999999997</v>
      </c>
      <c r="M421" s="11">
        <v>1.2256</v>
      </c>
      <c r="N421" s="23">
        <v>7229000</v>
      </c>
      <c r="O421" s="11">
        <v>4.6059999999999999</v>
      </c>
      <c r="P421" s="18">
        <v>-3.9710000000000001</v>
      </c>
      <c r="Q421" s="18">
        <v>-7.0000000000000007E-2</v>
      </c>
      <c r="R421" s="18">
        <v>80.495999999999995</v>
      </c>
      <c r="S421" s="17">
        <v>2.0699999999999998E-3</v>
      </c>
      <c r="T421" s="4">
        <v>-1.7799999999999999E-3</v>
      </c>
    </row>
    <row r="422" spans="1:20" x14ac:dyDescent="0.3">
      <c r="A422" s="11">
        <v>-0.30080000000000001</v>
      </c>
      <c r="B422" s="11">
        <v>1.0526</v>
      </c>
      <c r="C422" s="11">
        <v>0.49759999999999999</v>
      </c>
      <c r="D422" s="11">
        <v>0.49759999999999999</v>
      </c>
      <c r="E422" s="11">
        <v>0.76844999999999997</v>
      </c>
      <c r="F422" s="11">
        <v>0.87460000000000004</v>
      </c>
      <c r="G422" s="11">
        <v>-0.2356</v>
      </c>
      <c r="H422" s="11">
        <v>1.1395</v>
      </c>
      <c r="I422" s="11">
        <v>1.026</v>
      </c>
      <c r="J422" s="11">
        <v>1.1997599999999999</v>
      </c>
      <c r="K422" s="11">
        <v>16</v>
      </c>
      <c r="L422" s="11">
        <v>102030</v>
      </c>
      <c r="M422" s="11">
        <v>1.22634</v>
      </c>
      <c r="N422" s="23">
        <v>10850000</v>
      </c>
      <c r="O422" s="11">
        <v>11.7715</v>
      </c>
      <c r="P422" s="18">
        <v>-13.7303</v>
      </c>
      <c r="Q422" s="18">
        <v>-7.0000000000000007E-2</v>
      </c>
      <c r="R422" s="18">
        <v>244.09899999999999</v>
      </c>
      <c r="S422" s="17">
        <v>2.3500000000000001E-3</v>
      </c>
      <c r="T422" s="4">
        <v>-2.7399999999999998E-3</v>
      </c>
    </row>
    <row r="423" spans="1:20" x14ac:dyDescent="0.3">
      <c r="A423" s="11">
        <v>-0.1842</v>
      </c>
      <c r="B423" s="11">
        <v>1.0245</v>
      </c>
      <c r="C423" s="11">
        <v>0.38494</v>
      </c>
      <c r="D423" s="11">
        <v>0.38494</v>
      </c>
      <c r="E423" s="11">
        <v>0.65242</v>
      </c>
      <c r="F423" s="11">
        <v>0.87870000000000004</v>
      </c>
      <c r="G423" s="11">
        <v>-0.21920000000000001</v>
      </c>
      <c r="H423" s="11">
        <v>1.0973999999999999</v>
      </c>
      <c r="I423" s="11">
        <v>1.026</v>
      </c>
      <c r="J423" s="11">
        <v>1.99997</v>
      </c>
      <c r="K423" s="11">
        <v>16</v>
      </c>
      <c r="L423" s="11">
        <v>283340</v>
      </c>
      <c r="M423" s="11">
        <v>1.2255499999999999</v>
      </c>
      <c r="N423" s="23">
        <v>18070000</v>
      </c>
      <c r="O423" s="11">
        <v>13.0114</v>
      </c>
      <c r="P423" s="18">
        <v>-26.372800000000002</v>
      </c>
      <c r="Q423" s="18">
        <v>-7.0000000000000007E-2</v>
      </c>
      <c r="R423" s="18">
        <v>453.625</v>
      </c>
      <c r="S423" s="17">
        <v>9.3000000000000005E-4</v>
      </c>
      <c r="T423" s="4">
        <v>-1.89E-3</v>
      </c>
    </row>
    <row r="424" spans="1:20" x14ac:dyDescent="0.3">
      <c r="A424" s="11">
        <v>-0.14249999999999999</v>
      </c>
      <c r="B424" s="11">
        <v>0.91410000000000002</v>
      </c>
      <c r="C424" s="11">
        <v>0.29865999999999998</v>
      </c>
      <c r="D424" s="11">
        <v>0.29865999999999998</v>
      </c>
      <c r="E424" s="11">
        <v>0.53903999999999996</v>
      </c>
      <c r="F424" s="11">
        <v>0.79630000000000001</v>
      </c>
      <c r="G424" s="11">
        <v>-0.1832</v>
      </c>
      <c r="H424" s="11">
        <v>1.0879000000000001</v>
      </c>
      <c r="I424" s="11">
        <v>1.026</v>
      </c>
      <c r="J424" s="11">
        <v>4</v>
      </c>
      <c r="K424" s="11">
        <v>16</v>
      </c>
      <c r="L424" s="11">
        <v>1133320</v>
      </c>
      <c r="M424" s="11">
        <v>1.2254799999999999</v>
      </c>
      <c r="N424" s="23">
        <v>36140000</v>
      </c>
      <c r="O424" s="11">
        <v>23.363499999999998</v>
      </c>
      <c r="P424" s="18">
        <v>-58.005699999999997</v>
      </c>
      <c r="Q424" s="18">
        <v>-7.0000000000000007E-2</v>
      </c>
      <c r="R424" s="18">
        <v>1060.8900000000001</v>
      </c>
      <c r="S424" s="17">
        <v>4.2000000000000002E-4</v>
      </c>
      <c r="T424" s="4">
        <v>-1.0399999999999999E-3</v>
      </c>
    </row>
    <row r="425" spans="1:20" x14ac:dyDescent="0.3">
      <c r="A425" s="11">
        <v>-0.13669999999999999</v>
      </c>
      <c r="B425" s="11">
        <v>0.8357</v>
      </c>
      <c r="C425" s="11">
        <v>0.2787</v>
      </c>
      <c r="D425" s="11">
        <v>0.2787</v>
      </c>
      <c r="E425" s="11">
        <v>0.49825000000000003</v>
      </c>
      <c r="F425" s="11">
        <v>0.72650000000000003</v>
      </c>
      <c r="G425" s="11">
        <v>-0.1711</v>
      </c>
      <c r="H425" s="11">
        <v>1.0909</v>
      </c>
      <c r="I425" s="11">
        <v>1.026</v>
      </c>
      <c r="J425" s="11">
        <v>6</v>
      </c>
      <c r="K425" s="11">
        <v>16</v>
      </c>
      <c r="L425" s="11">
        <v>2550050</v>
      </c>
      <c r="M425" s="11">
        <v>1.2255199999999999</v>
      </c>
      <c r="N425" s="23">
        <v>54210000</v>
      </c>
      <c r="O425" s="11">
        <v>23.4969</v>
      </c>
      <c r="P425" s="18">
        <v>-13.782400000000001</v>
      </c>
      <c r="Q425" s="18">
        <v>-7.0000000000000007E-2</v>
      </c>
      <c r="R425" s="18">
        <v>836.33399999999995</v>
      </c>
      <c r="S425" s="17">
        <v>1.9000000000000001E-4</v>
      </c>
      <c r="T425" s="4">
        <v>-1.1E-4</v>
      </c>
    </row>
    <row r="426" spans="1:20" x14ac:dyDescent="0.3">
      <c r="A426" s="11">
        <v>-0.13250000000000001</v>
      </c>
      <c r="B426" s="11">
        <v>0.79769999999999996</v>
      </c>
      <c r="C426" s="11">
        <v>0.26823000000000002</v>
      </c>
      <c r="D426" s="11">
        <v>0.26823000000000002</v>
      </c>
      <c r="E426" s="11">
        <v>0.47771000000000002</v>
      </c>
      <c r="F426" s="11">
        <v>0.69279999999999997</v>
      </c>
      <c r="G426" s="11">
        <v>-0.16339999999999999</v>
      </c>
      <c r="H426" s="11">
        <v>1.0919000000000001</v>
      </c>
      <c r="I426" s="11">
        <v>1.026</v>
      </c>
      <c r="J426" s="11">
        <v>8</v>
      </c>
      <c r="K426" s="11">
        <v>16</v>
      </c>
      <c r="L426" s="11">
        <v>4533510</v>
      </c>
      <c r="M426" s="11">
        <v>1.2255400000000001</v>
      </c>
      <c r="N426" s="23">
        <v>72280000</v>
      </c>
      <c r="O426" s="11">
        <v>34.572200000000002</v>
      </c>
      <c r="P426" s="18">
        <v>45.430900000000001</v>
      </c>
      <c r="Q426" s="18">
        <v>-7.0000000000000007E-2</v>
      </c>
      <c r="R426" s="18">
        <v>520.93700000000001</v>
      </c>
      <c r="S426" s="17">
        <v>1.6000000000000001E-4</v>
      </c>
      <c r="T426" s="4">
        <v>2.0000000000000001E-4</v>
      </c>
    </row>
    <row r="427" spans="1:20" x14ac:dyDescent="0.3">
      <c r="A427" s="11">
        <v>-0.12870000000000001</v>
      </c>
      <c r="B427" s="11">
        <v>0.7772</v>
      </c>
      <c r="C427" s="11">
        <v>0.26183000000000001</v>
      </c>
      <c r="D427" s="11">
        <v>0.26183000000000001</v>
      </c>
      <c r="E427" s="11">
        <v>0.46590999999999999</v>
      </c>
      <c r="F427" s="11">
        <v>0.67490000000000006</v>
      </c>
      <c r="G427" s="11">
        <v>-0.15840000000000001</v>
      </c>
      <c r="H427" s="11">
        <v>1.0918000000000001</v>
      </c>
      <c r="I427" s="11">
        <v>1.026</v>
      </c>
      <c r="J427" s="11">
        <v>10</v>
      </c>
      <c r="K427" s="11">
        <v>16</v>
      </c>
      <c r="L427" s="11">
        <v>7083690</v>
      </c>
      <c r="M427" s="11">
        <v>1.2255499999999999</v>
      </c>
      <c r="N427" s="23">
        <v>90350000</v>
      </c>
      <c r="O427" s="11">
        <v>52.1158</v>
      </c>
      <c r="P427" s="18">
        <v>114.764</v>
      </c>
      <c r="Q427" s="18">
        <v>-7.0000000000000007E-2</v>
      </c>
      <c r="R427" s="18">
        <v>188.875</v>
      </c>
      <c r="S427" s="17">
        <v>1.4999999999999999E-4</v>
      </c>
      <c r="T427" s="4">
        <v>3.3E-4</v>
      </c>
    </row>
    <row r="429" spans="1:20" ht="36" x14ac:dyDescent="0.3">
      <c r="A429" s="12" t="s">
        <v>31</v>
      </c>
      <c r="B429" s="12" t="s">
        <v>32</v>
      </c>
      <c r="C429" s="12" t="s">
        <v>33</v>
      </c>
      <c r="D429" s="12" t="s">
        <v>44</v>
      </c>
      <c r="E429" s="12" t="s">
        <v>34</v>
      </c>
      <c r="F429" s="12" t="s">
        <v>35</v>
      </c>
      <c r="G429" s="12" t="s">
        <v>36</v>
      </c>
      <c r="H429" s="12" t="s">
        <v>37</v>
      </c>
      <c r="I429" s="12" t="s">
        <v>38</v>
      </c>
      <c r="J429" s="12" t="s">
        <v>39</v>
      </c>
      <c r="K429" s="12" t="s">
        <v>40</v>
      </c>
      <c r="L429" s="12" t="s">
        <v>41</v>
      </c>
      <c r="M429" s="12" t="s">
        <v>42</v>
      </c>
      <c r="N429" s="12" t="s">
        <v>43</v>
      </c>
      <c r="O429" s="12" t="s">
        <v>45</v>
      </c>
      <c r="P429" s="16" t="s">
        <v>46</v>
      </c>
      <c r="Q429" s="16" t="s">
        <v>47</v>
      </c>
      <c r="R429" s="16" t="s">
        <v>48</v>
      </c>
      <c r="S429" s="16" t="s">
        <v>51</v>
      </c>
      <c r="T429" s="4" t="s">
        <v>52</v>
      </c>
    </row>
    <row r="430" spans="1:20" x14ac:dyDescent="0.3">
      <c r="A430" s="11">
        <v>-0.23269999999999999</v>
      </c>
      <c r="B430" s="11">
        <v>1.1084000000000001</v>
      </c>
      <c r="C430" s="11">
        <v>0.14854999999999999</v>
      </c>
      <c r="D430" s="11">
        <v>0.14854999999999999</v>
      </c>
      <c r="E430" s="11">
        <v>0.51870000000000005</v>
      </c>
      <c r="F430" s="11">
        <v>0.99080000000000001</v>
      </c>
      <c r="G430" s="11">
        <v>-0.15229999999999999</v>
      </c>
      <c r="H430" s="11">
        <v>1.1093999999999999</v>
      </c>
      <c r="I430" s="13">
        <v>1.026</v>
      </c>
      <c r="J430" s="11">
        <v>0.3</v>
      </c>
      <c r="K430" s="11">
        <v>20</v>
      </c>
      <c r="L430" s="11">
        <v>6374.86</v>
      </c>
      <c r="M430" s="11">
        <v>1.22543</v>
      </c>
      <c r="N430" s="23">
        <v>2710000</v>
      </c>
      <c r="O430" s="11">
        <v>1.3766</v>
      </c>
      <c r="P430" s="18">
        <v>-1.7561</v>
      </c>
      <c r="Q430" s="18">
        <v>-7.0000000000000007E-2</v>
      </c>
      <c r="R430" s="18">
        <v>29.654800000000002</v>
      </c>
      <c r="S430" s="17">
        <v>4.3899999999999998E-3</v>
      </c>
      <c r="T430" s="4">
        <v>-5.6100000000000004E-3</v>
      </c>
    </row>
    <row r="431" spans="1:20" x14ac:dyDescent="0.3">
      <c r="A431" s="11">
        <v>-0.2344</v>
      </c>
      <c r="B431" s="11">
        <v>1.1269</v>
      </c>
      <c r="C431" s="11">
        <v>0.15453</v>
      </c>
      <c r="D431" s="11">
        <v>0.15453</v>
      </c>
      <c r="E431" s="11">
        <v>0.53064</v>
      </c>
      <c r="F431" s="11">
        <v>1.0061</v>
      </c>
      <c r="G431" s="11">
        <v>-0.1444</v>
      </c>
      <c r="H431" s="11">
        <v>1.1086</v>
      </c>
      <c r="I431" s="13">
        <v>1.026</v>
      </c>
      <c r="J431" s="11">
        <v>0.50000999999999995</v>
      </c>
      <c r="K431" s="11">
        <v>20</v>
      </c>
      <c r="L431" s="11">
        <v>17708.3</v>
      </c>
      <c r="M431" s="11">
        <v>1.2254400000000001</v>
      </c>
      <c r="N431" s="23">
        <v>4517000</v>
      </c>
      <c r="O431" s="11">
        <v>3.8672</v>
      </c>
      <c r="P431" s="18">
        <v>-4.9817</v>
      </c>
      <c r="Q431" s="18">
        <v>-7.0000000000000007E-2</v>
      </c>
      <c r="R431" s="18">
        <v>84.169300000000007</v>
      </c>
      <c r="S431" s="17">
        <v>4.4400000000000004E-3</v>
      </c>
      <c r="T431" s="4">
        <v>-5.7200000000000003E-3</v>
      </c>
    </row>
    <row r="432" spans="1:20" x14ac:dyDescent="0.3">
      <c r="A432" s="11">
        <v>-0.29859999999999998</v>
      </c>
      <c r="B432" s="11">
        <v>1.2342</v>
      </c>
      <c r="C432" s="11">
        <v>0.21756</v>
      </c>
      <c r="D432" s="11">
        <v>0.21756</v>
      </c>
      <c r="E432" s="11">
        <v>0.62656999999999996</v>
      </c>
      <c r="F432" s="11">
        <v>1.0853999999999999</v>
      </c>
      <c r="G432" s="11">
        <v>-0.1537</v>
      </c>
      <c r="H432" s="11">
        <v>1.1220000000000001</v>
      </c>
      <c r="I432" s="13">
        <v>1.026</v>
      </c>
      <c r="J432" s="11">
        <v>0.80006999999999995</v>
      </c>
      <c r="K432" s="11">
        <v>20</v>
      </c>
      <c r="L432" s="11">
        <v>45349</v>
      </c>
      <c r="M432" s="11">
        <v>1.2257100000000001</v>
      </c>
      <c r="N432" s="23">
        <v>7229000</v>
      </c>
      <c r="O432" s="11">
        <v>9.0637000000000008</v>
      </c>
      <c r="P432" s="18">
        <v>-14.722200000000001</v>
      </c>
      <c r="Q432" s="18">
        <v>-7.0000000000000007E-2</v>
      </c>
      <c r="R432" s="18">
        <v>245.614</v>
      </c>
      <c r="S432" s="17">
        <v>4.0699999999999998E-3</v>
      </c>
      <c r="T432" s="4">
        <v>-6.6100000000000004E-3</v>
      </c>
    </row>
    <row r="433" spans="1:20" x14ac:dyDescent="0.3">
      <c r="A433" s="11">
        <v>-0.31030000000000002</v>
      </c>
      <c r="B433" s="11">
        <v>1.3116000000000001</v>
      </c>
      <c r="C433" s="11">
        <v>0.45473999999999998</v>
      </c>
      <c r="D433" s="11">
        <v>0.45473999999999998</v>
      </c>
      <c r="E433" s="11">
        <v>0.87588999999999995</v>
      </c>
      <c r="F433" s="11">
        <v>1.0769</v>
      </c>
      <c r="G433" s="11">
        <v>-0.20369999999999999</v>
      </c>
      <c r="H433" s="11">
        <v>1.1198999999999999</v>
      </c>
      <c r="I433" s="13">
        <v>1.026</v>
      </c>
      <c r="J433" s="11">
        <v>1.19974</v>
      </c>
      <c r="K433" s="11">
        <v>20</v>
      </c>
      <c r="L433" s="11">
        <v>102028</v>
      </c>
      <c r="M433" s="11">
        <v>1.2263599999999999</v>
      </c>
      <c r="N433" s="23">
        <v>10850000</v>
      </c>
      <c r="O433" s="11">
        <v>18.461300000000001</v>
      </c>
      <c r="P433" s="18">
        <v>-32.756500000000003</v>
      </c>
      <c r="Q433" s="18">
        <v>-7.0000000000000007E-2</v>
      </c>
      <c r="R433" s="18">
        <v>520.29999999999995</v>
      </c>
      <c r="S433" s="17">
        <v>3.6800000000000001E-3</v>
      </c>
      <c r="T433" s="4">
        <v>-6.5300000000000002E-3</v>
      </c>
    </row>
    <row r="434" spans="1:20" x14ac:dyDescent="0.3">
      <c r="A434" s="11">
        <v>-0.19539999999999999</v>
      </c>
      <c r="B434" s="11">
        <v>1.3816999999999999</v>
      </c>
      <c r="C434" s="11">
        <v>0.38031999999999999</v>
      </c>
      <c r="D434" s="11">
        <v>0.38031999999999999</v>
      </c>
      <c r="E434" s="11">
        <v>0.82996999999999999</v>
      </c>
      <c r="F434" s="11">
        <v>1.1682999999999999</v>
      </c>
      <c r="G434" s="11">
        <v>-0.20499999999999999</v>
      </c>
      <c r="H434" s="11">
        <v>1.0821000000000001</v>
      </c>
      <c r="I434" s="13">
        <v>1.026</v>
      </c>
      <c r="J434" s="11">
        <v>1.99997</v>
      </c>
      <c r="K434" s="11">
        <v>20</v>
      </c>
      <c r="L434" s="11">
        <v>283344</v>
      </c>
      <c r="M434" s="11">
        <v>1.22557</v>
      </c>
      <c r="N434" s="23">
        <v>18070000</v>
      </c>
      <c r="O434" s="11">
        <v>8.6860999999999997</v>
      </c>
      <c r="P434" s="18">
        <v>-59.725000000000001</v>
      </c>
      <c r="Q434" s="18">
        <v>-7.0000000000000007E-2</v>
      </c>
      <c r="R434" s="18">
        <v>756.88400000000001</v>
      </c>
      <c r="S434" s="17">
        <v>6.2E-4</v>
      </c>
      <c r="T434" s="4">
        <v>-4.2900000000000004E-3</v>
      </c>
    </row>
    <row r="435" spans="1:20" x14ac:dyDescent="0.3">
      <c r="A435" s="11">
        <v>-0.15939999999999999</v>
      </c>
      <c r="B435" s="11">
        <v>1.1803999999999999</v>
      </c>
      <c r="C435" s="11">
        <v>0.32512999999999997</v>
      </c>
      <c r="D435" s="11">
        <v>0.32512999999999997</v>
      </c>
      <c r="E435" s="11">
        <v>0.70921999999999996</v>
      </c>
      <c r="F435" s="11">
        <v>0.998</v>
      </c>
      <c r="G435" s="11">
        <v>-0.19109999999999999</v>
      </c>
      <c r="H435" s="11">
        <v>1.0795999999999999</v>
      </c>
      <c r="I435" s="13">
        <v>1.026</v>
      </c>
      <c r="J435" s="11">
        <v>4</v>
      </c>
      <c r="K435" s="11">
        <v>20</v>
      </c>
      <c r="L435" s="11">
        <v>1133360</v>
      </c>
      <c r="M435" s="11">
        <v>1.2255199999999999</v>
      </c>
      <c r="N435" s="23">
        <v>36140000</v>
      </c>
      <c r="O435" s="11">
        <v>23.525300000000001</v>
      </c>
      <c r="P435" s="18">
        <v>-103.227</v>
      </c>
      <c r="Q435" s="18">
        <v>-7.0000000000000007E-2</v>
      </c>
      <c r="R435" s="18">
        <v>1684.92</v>
      </c>
      <c r="S435" s="17">
        <v>4.2000000000000002E-4</v>
      </c>
      <c r="T435" s="4">
        <v>-1.8500000000000001E-3</v>
      </c>
    </row>
    <row r="436" spans="1:20" x14ac:dyDescent="0.3">
      <c r="A436" s="11">
        <v>-0.15160000000000001</v>
      </c>
      <c r="B436" s="11">
        <v>1.0791999999999999</v>
      </c>
      <c r="C436" s="11">
        <v>0.30897999999999998</v>
      </c>
      <c r="D436" s="11">
        <v>0.30897999999999998</v>
      </c>
      <c r="E436" s="11">
        <v>0.65944999999999998</v>
      </c>
      <c r="F436" s="11">
        <v>0.90839999999999999</v>
      </c>
      <c r="G436" s="11">
        <v>-0.17979999999999999</v>
      </c>
      <c r="H436" s="11">
        <v>1.0818000000000001</v>
      </c>
      <c r="I436" s="13">
        <v>1.026</v>
      </c>
      <c r="J436" s="11">
        <v>6</v>
      </c>
      <c r="K436" s="11">
        <v>20</v>
      </c>
      <c r="L436" s="11">
        <v>2550230</v>
      </c>
      <c r="M436" s="11">
        <v>1.2256</v>
      </c>
      <c r="N436" s="23">
        <v>54210000</v>
      </c>
      <c r="O436" s="11">
        <v>32.090200000000003</v>
      </c>
      <c r="P436" s="18">
        <v>-87.867400000000004</v>
      </c>
      <c r="Q436" s="18">
        <v>-7.0000000000000007E-2</v>
      </c>
      <c r="R436" s="18">
        <v>1757.56</v>
      </c>
      <c r="S436" s="17">
        <v>2.5999999999999998E-4</v>
      </c>
      <c r="T436" s="4">
        <v>-6.9999999999999999E-4</v>
      </c>
    </row>
    <row r="437" spans="1:20" x14ac:dyDescent="0.3">
      <c r="A437" s="11">
        <v>-0.1474</v>
      </c>
      <c r="B437" s="11">
        <v>1.0347</v>
      </c>
      <c r="C437" s="11">
        <v>0.29960999999999999</v>
      </c>
      <c r="D437" s="11">
        <v>0.29960999999999999</v>
      </c>
      <c r="E437" s="11">
        <v>0.63544</v>
      </c>
      <c r="F437" s="11">
        <v>0.86990000000000001</v>
      </c>
      <c r="G437" s="11">
        <v>-0.17230000000000001</v>
      </c>
      <c r="H437" s="11">
        <v>1.0826</v>
      </c>
      <c r="I437" s="13">
        <v>1.026</v>
      </c>
      <c r="J437" s="11">
        <v>7.9999900000000004</v>
      </c>
      <c r="K437" s="11">
        <v>20</v>
      </c>
      <c r="L437" s="11">
        <v>4533910</v>
      </c>
      <c r="M437" s="11">
        <v>1.2256499999999999</v>
      </c>
      <c r="N437" s="23">
        <v>72280000</v>
      </c>
      <c r="O437" s="11">
        <v>47.1297</v>
      </c>
      <c r="P437" s="18">
        <v>-79.703299999999999</v>
      </c>
      <c r="Q437" s="18">
        <v>-7.0000000000000007E-2</v>
      </c>
      <c r="R437" s="18">
        <v>2024.25</v>
      </c>
      <c r="S437" s="17">
        <v>2.1000000000000001E-4</v>
      </c>
      <c r="T437" s="4">
        <v>-3.6000000000000002E-4</v>
      </c>
    </row>
    <row r="438" spans="1:20" x14ac:dyDescent="0.3">
      <c r="A438" s="11">
        <v>-0.14430000000000001</v>
      </c>
      <c r="B438" s="11">
        <v>1.0116000000000001</v>
      </c>
      <c r="C438" s="11">
        <v>0.29408000000000001</v>
      </c>
      <c r="D438" s="11">
        <v>0.29408000000000001</v>
      </c>
      <c r="E438" s="11">
        <v>0.62233000000000005</v>
      </c>
      <c r="F438" s="11">
        <v>0.85</v>
      </c>
      <c r="G438" s="11">
        <v>-0.1678</v>
      </c>
      <c r="H438" s="11">
        <v>1.0826</v>
      </c>
      <c r="I438" s="11">
        <v>1.026</v>
      </c>
      <c r="J438" s="11">
        <v>9.9999900000000004</v>
      </c>
      <c r="K438" s="11">
        <v>20</v>
      </c>
      <c r="L438" s="11">
        <v>7084450</v>
      </c>
      <c r="M438" s="11">
        <v>1.2256899999999999</v>
      </c>
      <c r="N438" s="23">
        <v>90360000</v>
      </c>
      <c r="O438" s="11">
        <v>65.346500000000006</v>
      </c>
      <c r="P438" s="18">
        <v>-77.088499999999996</v>
      </c>
      <c r="Q438" s="18">
        <v>-7.0000000000000007E-2</v>
      </c>
      <c r="R438" s="18">
        <v>2428.1</v>
      </c>
      <c r="S438" s="17">
        <v>1.9000000000000001E-4</v>
      </c>
      <c r="T438" s="4">
        <v>-2.2000000000000001E-4</v>
      </c>
    </row>
  </sheetData>
  <mergeCells count="5">
    <mergeCell ref="A5:P5"/>
    <mergeCell ref="A90:P90"/>
    <mergeCell ref="A170:P170"/>
    <mergeCell ref="A261:P261"/>
    <mergeCell ref="A352:P3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stage2</vt:lpstr>
      <vt:lpstr>stage2_all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al-suraihi</dc:creator>
  <cp:lastModifiedBy>al-suraihi</cp:lastModifiedBy>
  <dcterms:created xsi:type="dcterms:W3CDTF">2025-10-08T07:23:34Z</dcterms:created>
  <dcterms:modified xsi:type="dcterms:W3CDTF">2026-09-26T02:10:10Z</dcterms:modified>
</cp:coreProperties>
</file>